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gedBoctor\Claude\Soccer App\"/>
    </mc:Choice>
  </mc:AlternateContent>
  <xr:revisionPtr revIDLastSave="0" documentId="13_ncr:1_{B82EE91A-0139-4E9E-A2CD-F35DE64E22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layers" sheetId="1" r:id="rId1"/>
    <sheet name="Sessions" sheetId="2" r:id="rId2"/>
    <sheet name="Teams_BibColours" sheetId="3" r:id="rId3"/>
    <sheet name="RSVP_Attendance" sheetId="4" r:id="rId4"/>
    <sheet name="Payments" sheetId="5" r:id="rId5"/>
    <sheet name="Payment_FollowUp" sheetId="6" r:id="rId6"/>
    <sheet name="Buffer_Fund" sheetId="7" r:id="rId7"/>
    <sheet name="Test_Cas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/>
  <c r="D6" i="7"/>
  <c r="J6" i="7" s="1"/>
  <c r="K6" i="7" s="1"/>
  <c r="I5" i="7"/>
  <c r="D5" i="7"/>
  <c r="J5" i="7" s="1"/>
  <c r="K5" i="7" s="1"/>
  <c r="I4" i="7"/>
  <c r="D4" i="7"/>
  <c r="J4" i="7" s="1"/>
  <c r="K4" i="7" s="1"/>
  <c r="I3" i="7"/>
  <c r="D3" i="7"/>
  <c r="J3" i="7" s="1"/>
  <c r="K3" i="7" s="1"/>
  <c r="I2" i="7"/>
  <c r="D2" i="7"/>
  <c r="J2" i="7" s="1"/>
  <c r="K2" i="7" s="1"/>
  <c r="D21" i="5"/>
  <c r="C21" i="5"/>
  <c r="B21" i="5"/>
  <c r="D20" i="5"/>
  <c r="C20" i="5"/>
  <c r="B20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6" i="2"/>
  <c r="H6" i="2" s="1"/>
  <c r="I6" i="2" s="1"/>
  <c r="G5" i="2"/>
  <c r="H5" i="2" s="1"/>
  <c r="I5" i="2" s="1"/>
  <c r="H4" i="2"/>
  <c r="I4" i="2" s="1"/>
  <c r="G4" i="2"/>
  <c r="G3" i="2"/>
  <c r="H3" i="2" s="1"/>
  <c r="I3" i="2" s="1"/>
  <c r="G2" i="2"/>
  <c r="H2" i="2" s="1"/>
  <c r="I2" i="2" s="1"/>
</calcChain>
</file>

<file path=xl/sharedStrings.xml><?xml version="1.0" encoding="utf-8"?>
<sst xmlns="http://schemas.openxmlformats.org/spreadsheetml/2006/main" count="1453" uniqueCount="672">
  <si>
    <t>Player ID</t>
  </si>
  <si>
    <t>Full Name</t>
  </si>
  <si>
    <t>Mobile (AU)</t>
  </si>
  <si>
    <t>Email</t>
  </si>
  <si>
    <t>Player Type</t>
  </si>
  <si>
    <t>Skill Rating (1-5)</t>
  </si>
  <si>
    <t>Admin Role</t>
  </si>
  <si>
    <t>Is Court Payer?</t>
  </si>
  <si>
    <t>Status</t>
  </si>
  <si>
    <t>Notes</t>
  </si>
  <si>
    <t>P001</t>
  </si>
  <si>
    <t>Maged Boctor</t>
  </si>
  <si>
    <t>+61 412 408 587</t>
  </si>
  <si>
    <t>mboctor@gmail.com</t>
  </si>
  <si>
    <t>Core</t>
  </si>
  <si>
    <t>Admin</t>
  </si>
  <si>
    <t>Yes</t>
  </si>
  <si>
    <t>Active</t>
  </si>
  <si>
    <t>Primary organiser — default Court Payer (can be changed per session)</t>
  </si>
  <si>
    <t>P002</t>
  </si>
  <si>
    <t>Michael Boctor</t>
  </si>
  <si>
    <t>+61 452 508 587</t>
  </si>
  <si>
    <t>michael.boctor@gmail.com</t>
  </si>
  <si>
    <t>No</t>
  </si>
  <si>
    <t>Admin — can be set as Court Payer</t>
  </si>
  <si>
    <t>P003</t>
  </si>
  <si>
    <t>Marcus Boctor</t>
  </si>
  <si>
    <t>+61 444 517 626</t>
  </si>
  <si>
    <t>Player</t>
  </si>
  <si>
    <t>Email to be added</t>
  </si>
  <si>
    <t>P004</t>
  </si>
  <si>
    <t>David Ibrahim</t>
  </si>
  <si>
    <t>+61 449 950 350</t>
  </si>
  <si>
    <t>Admin — can be set as Court Payer. Email to be added</t>
  </si>
  <si>
    <t>P005</t>
  </si>
  <si>
    <t>Andrew Mitchell</t>
  </si>
  <si>
    <t>+61 416 789 012</t>
  </si>
  <si>
    <t>andrew.mitchell@email.com</t>
  </si>
  <si>
    <t>P006</t>
  </si>
  <si>
    <t>Thomas Anderson</t>
  </si>
  <si>
    <t>+61 417 890 123</t>
  </si>
  <si>
    <t>thomas.a@email.com</t>
  </si>
  <si>
    <t>P007</t>
  </si>
  <si>
    <t>Ryan Patel</t>
  </si>
  <si>
    <t>+61 418 901 234</t>
  </si>
  <si>
    <t>ryan.patel@email.com</t>
  </si>
  <si>
    <t>P008</t>
  </si>
  <si>
    <t>Daniel Kim</t>
  </si>
  <si>
    <t>+61 419 012 345</t>
  </si>
  <si>
    <t>daniel.kim@email.com</t>
  </si>
  <si>
    <t>P009</t>
  </si>
  <si>
    <t>Nathan Williams</t>
  </si>
  <si>
    <t>+61 420 123 456</t>
  </si>
  <si>
    <t>nathan.w@email.com</t>
  </si>
  <si>
    <t>P010</t>
  </si>
  <si>
    <t>Luke Johnson</t>
  </si>
  <si>
    <t>+61 421 234 567</t>
  </si>
  <si>
    <t>luke.johnson@email.com</t>
  </si>
  <si>
    <t>P011</t>
  </si>
  <si>
    <t>Jake Robinson</t>
  </si>
  <si>
    <t>+61 422 345 678</t>
  </si>
  <si>
    <t>jake.r@email.com</t>
  </si>
  <si>
    <t>P012</t>
  </si>
  <si>
    <t>Sam Wilson</t>
  </si>
  <si>
    <t>+61 423 456 789</t>
  </si>
  <si>
    <t>sam.wilson@email.com</t>
  </si>
  <si>
    <t>P013</t>
  </si>
  <si>
    <t>Ben Harris</t>
  </si>
  <si>
    <t>+61 424 567 890</t>
  </si>
  <si>
    <t>ben.harris@email.com</t>
  </si>
  <si>
    <t>P014</t>
  </si>
  <si>
    <t>Matt Clarke</t>
  </si>
  <si>
    <t>+61 425 678 901</t>
  </si>
  <si>
    <t>matt.c@email.com</t>
  </si>
  <si>
    <t>P015</t>
  </si>
  <si>
    <t>Adam Cooper</t>
  </si>
  <si>
    <t>+61 426 789 012</t>
  </si>
  <si>
    <t>adam.cooper@email.com</t>
  </si>
  <si>
    <t>P016</t>
  </si>
  <si>
    <t>Josh Martin</t>
  </si>
  <si>
    <t>+61 427 890 123</t>
  </si>
  <si>
    <t>josh.martin@email.com</t>
  </si>
  <si>
    <t>P017</t>
  </si>
  <si>
    <t>Liam Thompson</t>
  </si>
  <si>
    <t>+61 428 901 234</t>
  </si>
  <si>
    <t>liam.t@email.com</t>
  </si>
  <si>
    <t>P018</t>
  </si>
  <si>
    <t>Ethan White</t>
  </si>
  <si>
    <t>+61 429 012 345</t>
  </si>
  <si>
    <t>ethan.w@email.com</t>
  </si>
  <si>
    <t>P019</t>
  </si>
  <si>
    <t>Jack Brown</t>
  </si>
  <si>
    <t>+61 430 123 456</t>
  </si>
  <si>
    <t>jack.b@email.com</t>
  </si>
  <si>
    <t>P020</t>
  </si>
  <si>
    <t>Oliver Davis</t>
  </si>
  <si>
    <t>+61 431 234 567</t>
  </si>
  <si>
    <t>oliver.d@email.com</t>
  </si>
  <si>
    <t>P021</t>
  </si>
  <si>
    <t>Harry Taylor</t>
  </si>
  <si>
    <t>+61 432 345 678</t>
  </si>
  <si>
    <t>harry.t@email.com</t>
  </si>
  <si>
    <t>P022</t>
  </si>
  <si>
    <t>Callum Moore</t>
  </si>
  <si>
    <t>+61 433 456 789</t>
  </si>
  <si>
    <t>callum.m@email.com</t>
  </si>
  <si>
    <t>P023</t>
  </si>
  <si>
    <t>Declan Lee</t>
  </si>
  <si>
    <t>+61 434 567 890</t>
  </si>
  <si>
    <t>declan.l@email.com</t>
  </si>
  <si>
    <t>Inactive</t>
  </si>
  <si>
    <t>Travelling</t>
  </si>
  <si>
    <t>P024</t>
  </si>
  <si>
    <t>Finn Walker</t>
  </si>
  <si>
    <t>+61 435 678 901</t>
  </si>
  <si>
    <t>finn.w@email.com</t>
  </si>
  <si>
    <t>P025</t>
  </si>
  <si>
    <t>George Hall</t>
  </si>
  <si>
    <t>+61 436 789 012</t>
  </si>
  <si>
    <t>george.h@email.com</t>
  </si>
  <si>
    <t>P026</t>
  </si>
  <si>
    <t>Henry Allen</t>
  </si>
  <si>
    <t>+61 437 890 123</t>
  </si>
  <si>
    <t>henry.a@email.com</t>
  </si>
  <si>
    <t>P027</t>
  </si>
  <si>
    <t>Isaac Young</t>
  </si>
  <si>
    <t>+61 438 901 234</t>
  </si>
  <si>
    <t>isaac.y@email.com</t>
  </si>
  <si>
    <t>P028</t>
  </si>
  <si>
    <t>Jacob Scott</t>
  </si>
  <si>
    <t>+61 439 012 345</t>
  </si>
  <si>
    <t>jacob.s@email.com</t>
  </si>
  <si>
    <t>P029</t>
  </si>
  <si>
    <t>Karl Evans</t>
  </si>
  <si>
    <t>+61 440 123 456</t>
  </si>
  <si>
    <t>karl.e@email.com</t>
  </si>
  <si>
    <t>P030</t>
  </si>
  <si>
    <t>Leo Grant</t>
  </si>
  <si>
    <t>+61 441 234 567</t>
  </si>
  <si>
    <t>leo.grant@email.com</t>
  </si>
  <si>
    <t>Non-Core</t>
  </si>
  <si>
    <t>Friend of P005</t>
  </si>
  <si>
    <t>P031</t>
  </si>
  <si>
    <t>Max Turner</t>
  </si>
  <si>
    <t>+61 442 345 678</t>
  </si>
  <si>
    <t>max.turner@email.com</t>
  </si>
  <si>
    <t>Friend of P008</t>
  </si>
  <si>
    <t>P032</t>
  </si>
  <si>
    <t>Noah Phillips</t>
  </si>
  <si>
    <t>+61 443 456 789</t>
  </si>
  <si>
    <t>noah.p@email.com</t>
  </si>
  <si>
    <t>Friend of P012</t>
  </si>
  <si>
    <t>P033</t>
  </si>
  <si>
    <t>Oscar Campbell</t>
  </si>
  <si>
    <t>+61 444 567 890</t>
  </si>
  <si>
    <t>oscar.c@email.com</t>
  </si>
  <si>
    <t>Friend of P016</t>
  </si>
  <si>
    <t>P034</t>
  </si>
  <si>
    <t>Peter Roberts</t>
  </si>
  <si>
    <t>+61 445 678 901</t>
  </si>
  <si>
    <t>peter.r@email.com</t>
  </si>
  <si>
    <t>Friend of P020</t>
  </si>
  <si>
    <t>P035</t>
  </si>
  <si>
    <t>Quinn Stewart</t>
  </si>
  <si>
    <t>+61 446 789 012</t>
  </si>
  <si>
    <t>quinn.s@email.com</t>
  </si>
  <si>
    <t>Friend of P007</t>
  </si>
  <si>
    <t>P036</t>
  </si>
  <si>
    <t>Ross Murphy</t>
  </si>
  <si>
    <t>+61 447 890 123</t>
  </si>
  <si>
    <t>ross.m@email.com</t>
  </si>
  <si>
    <t>Friend of P011</t>
  </si>
  <si>
    <t>P037</t>
  </si>
  <si>
    <t>Sean Bailey</t>
  </si>
  <si>
    <t>+61 448 901 234</t>
  </si>
  <si>
    <t>sean.b@email.com</t>
  </si>
  <si>
    <t>Friend of P025</t>
  </si>
  <si>
    <t>LEGEND</t>
  </si>
  <si>
    <t>Blue  = Admin / Organiser (eligible Court Payer)</t>
  </si>
  <si>
    <t>Green = Core player</t>
  </si>
  <si>
    <t>Orange = Non-Core / Waiting list</t>
  </si>
  <si>
    <t>Session ID</t>
  </si>
  <si>
    <t>Date</t>
  </si>
  <si>
    <t>Format</t>
  </si>
  <si>
    <t>Players Confirmed</t>
  </si>
  <si>
    <t>Court Cost ($)</t>
  </si>
  <si>
    <t>Buffer %</t>
  </si>
  <si>
    <t>Buffer Amt ($)</t>
  </si>
  <si>
    <t>Total Cost ($)</t>
  </si>
  <si>
    <t>Cost/Player ($)</t>
  </si>
  <si>
    <t>Court Payer</t>
  </si>
  <si>
    <t>Court Payer ID</t>
  </si>
  <si>
    <t>S001</t>
  </si>
  <si>
    <t>2025-06-02</t>
  </si>
  <si>
    <t>2 Teams</t>
  </si>
  <si>
    <t>Completed</t>
  </si>
  <si>
    <t>S002</t>
  </si>
  <si>
    <t>2025-06-09</t>
  </si>
  <si>
    <t>3 Teams</t>
  </si>
  <si>
    <t>S003</t>
  </si>
  <si>
    <t>2025-06-16</t>
  </si>
  <si>
    <t>S004</t>
  </si>
  <si>
    <t>2025-06-23</t>
  </si>
  <si>
    <t>S005</t>
  </si>
  <si>
    <t>2025-06-30</t>
  </si>
  <si>
    <t>Upcoming</t>
  </si>
  <si>
    <t>Court Payer = the admin who fronted the full court cost. This player is EXCLUDED from all payment follow-up notifications.</t>
  </si>
  <si>
    <t>Team Name</t>
  </si>
  <si>
    <t>Bib Colour</t>
  </si>
  <si>
    <t>Colour Override?</t>
  </si>
  <si>
    <t>Players (comma-separated)</t>
  </si>
  <si>
    <t>Avg Skill Rating</t>
  </si>
  <si>
    <t>Published?</t>
  </si>
  <si>
    <t>Team A</t>
  </si>
  <si>
    <t>White</t>
  </si>
  <si>
    <t>No (Default)</t>
  </si>
  <si>
    <t>Maged Boctor, Marcus Boctor, Daniel Kim, Sam Wilson, Ethan White</t>
  </si>
  <si>
    <t>Team B</t>
  </si>
  <si>
    <t>Black</t>
  </si>
  <si>
    <t>Michael Boctor, David Ibrahim, Luke Johnson, Josh Martin, Jack Brown</t>
  </si>
  <si>
    <t>Maged Boctor, David Ibrahim, Daniel Kim, Henry Allen, Max Turner</t>
  </si>
  <si>
    <t>Michael Boctor, Andrew Mitchell, Jake Robinson, Liam Thompson, Jacob Scott</t>
  </si>
  <si>
    <t>Team C</t>
  </si>
  <si>
    <t>Red</t>
  </si>
  <si>
    <t>Marcus Boctor, Ryan Patel, Ben Harris, Ethan White, Josh Martin</t>
  </si>
  <si>
    <t>Maged Boctor, David Ibrahim, Daniel Kim, Sam Wilson, Finn Walker</t>
  </si>
  <si>
    <t>Michael Boctor, Ryan Patel, Jake Robinson, Henry Allen, Jacob Scott</t>
  </si>
  <si>
    <t>Yellow</t>
  </si>
  <si>
    <t>Yes — Admin override</t>
  </si>
  <si>
    <t>Marcus Boctor, Andrew Mitchell, Josh Martin, Luke Johnson, Adam Cooper</t>
  </si>
  <si>
    <t>Maged Boctor, Marcus Boctor, Jake Robinson, Liam Thompson, Harry Taylor</t>
  </si>
  <si>
    <t>David Ibrahim, Ben Harris, Josh Martin, Ethan White, Jack Brown</t>
  </si>
  <si>
    <t>TBD</t>
  </si>
  <si>
    <t>–</t>
  </si>
  <si>
    <t>DEFAULT BIB COLOURS</t>
  </si>
  <si>
    <t>White  — Team A default</t>
  </si>
  <si>
    <t>Black  — Team B default</t>
  </si>
  <si>
    <t>Red    — Team C default</t>
  </si>
  <si>
    <t>Yellow — Example admin override colour</t>
  </si>
  <si>
    <t>Admin can override any team's bib colour before publishing teams. Override flag = Yes. Custom colour stored per session — does not affect future sessions.</t>
  </si>
  <si>
    <t>Player Name</t>
  </si>
  <si>
    <t>RSVP Status</t>
  </si>
  <si>
    <t>RSVP Timestamp</t>
  </si>
  <si>
    <t>Playing Status</t>
  </si>
  <si>
    <t>Team Assigned</t>
  </si>
  <si>
    <t>Confirmed</t>
  </si>
  <si>
    <t>2025-06-02 08:15</t>
  </si>
  <si>
    <t>Playing</t>
  </si>
  <si>
    <t>2025-06-02 09:30</t>
  </si>
  <si>
    <t>2025-06-02 10:00</t>
  </si>
  <si>
    <t>2025-06-02 11:20</t>
  </si>
  <si>
    <t>2025-06-02 12:00</t>
  </si>
  <si>
    <t>2025-06-02 13:45</t>
  </si>
  <si>
    <t>2025-06-02 14:30</t>
  </si>
  <si>
    <t>2025-06-02 15:00</t>
  </si>
  <si>
    <t>2025-06-02 16:10</t>
  </si>
  <si>
    <t>2025-06-02 17:00</t>
  </si>
  <si>
    <t>Waitlisted</t>
  </si>
  <si>
    <t>2025-06-02 18:00</t>
  </si>
  <si>
    <t>2025-06-09 07:00</t>
  </si>
  <si>
    <t>2025-06-09 07:30</t>
  </si>
  <si>
    <t>2025-06-09 08:00</t>
  </si>
  <si>
    <t>2025-06-09 09:00</t>
  </si>
  <si>
    <t>2025-06-09 09:30</t>
  </si>
  <si>
    <t>2025-06-09 10:00</t>
  </si>
  <si>
    <t>2025-06-09 10:30</t>
  </si>
  <si>
    <t>2025-06-09 11:00</t>
  </si>
  <si>
    <t>2025-06-09 11:30</t>
  </si>
  <si>
    <t>2025-06-09 12:00</t>
  </si>
  <si>
    <t>2025-06-09 12:30</t>
  </si>
  <si>
    <t>2025-06-09 13:00</t>
  </si>
  <si>
    <t>2025-06-09 13:30</t>
  </si>
  <si>
    <t>2025-06-09 14:00</t>
  </si>
  <si>
    <t>2025-06-09 15:00</t>
  </si>
  <si>
    <t>Amount Due ($)</t>
  </si>
  <si>
    <t>Amount Paid ($)</t>
  </si>
  <si>
    <t>Outstanding ($)</t>
  </si>
  <si>
    <t>Payment Status</t>
  </si>
  <si>
    <t>Payment Method</t>
  </si>
  <si>
    <t>Payment Date</t>
  </si>
  <si>
    <t>Court Payer?</t>
  </si>
  <si>
    <t>Chase Message Sent?</t>
  </si>
  <si>
    <t>N/A — Court Payer</t>
  </si>
  <si>
    <t>YES</t>
  </si>
  <si>
    <t>N/A</t>
  </si>
  <si>
    <t>Fronted $180 court cost</t>
  </si>
  <si>
    <t>Paid</t>
  </si>
  <si>
    <t>Bank Transfer</t>
  </si>
  <si>
    <t>Cash</t>
  </si>
  <si>
    <t>Unpaid</t>
  </si>
  <si>
    <t>Post-game chase sent</t>
  </si>
  <si>
    <t>Partial</t>
  </si>
  <si>
    <t>Owes $9.80 — chase sent</t>
  </si>
  <si>
    <t>Non-core — sees own status only</t>
  </si>
  <si>
    <t>Non-core — sees own status only; chase sent</t>
  </si>
  <si>
    <t>SESSION TOTALS</t>
  </si>
  <si>
    <t>Session</t>
  </si>
  <si>
    <t>Total Due ($)</t>
  </si>
  <si>
    <t>Total Collected ($)</t>
  </si>
  <si>
    <t>Players Paid</t>
  </si>
  <si>
    <t>Players Unpaid</t>
  </si>
  <si>
    <t>8</t>
  </si>
  <si>
    <t>1 + 1 partial</t>
  </si>
  <si>
    <t>3</t>
  </si>
  <si>
    <t>1</t>
  </si>
  <si>
    <t>PAYMENT VISIBILITY BY ROLE</t>
  </si>
  <si>
    <t>Full detail — $ due, $ collected, $ outstanding, per-player status, Court Payer flagged</t>
  </si>
  <si>
    <t>Core Player</t>
  </si>
  <si>
    <t>Counts only — e.g. '8 of 10 paid, 2 outstanding'. NO dollar amounts shown.</t>
  </si>
  <si>
    <t>Own record only — their amount due, amount paid, payment status. No other player data.</t>
  </si>
  <si>
    <t>Excluded from ALL payment chase/follow-up notifications regardless of own payment status.</t>
  </si>
  <si>
    <t>PAYMENT FOLLOW-UP MESSAGE TEMPLATES</t>
  </si>
  <si>
    <t>Template ID</t>
  </si>
  <si>
    <t>Timing</t>
  </si>
  <si>
    <t>Template Name</t>
  </si>
  <si>
    <t>Default Message Text</t>
  </si>
  <si>
    <t>Editable by Admin?</t>
  </si>
  <si>
    <t>Channel</t>
  </si>
  <si>
    <t>TPL-001</t>
  </si>
  <si>
    <t>Pre-Game</t>
  </si>
  <si>
    <t>Gentle Reminder</t>
  </si>
  <si>
    <t>Hi {player_name}, just a reminder that Monday night soccer is tomorrow at 8:45 PM at Flat Rock. Your share is ${amount_due}. Please bring cash or transfer to {organiser_name} before the game. See you on the pitch!</t>
  </si>
  <si>
    <t>SMS + Push</t>
  </si>
  <si>
    <t>TPL-002</t>
  </si>
  <si>
    <t>Post-Game</t>
  </si>
  <si>
    <t>Post-Game Settle Up</t>
  </si>
  <si>
    <t>Hi {player_name}, great game last night! Just a reminder that ${amount_outstanding} is still outstanding for Monday's session. Please transfer to {organiser_name} at your earliest convenience. Thanks!</t>
  </si>
  <si>
    <t>TPL-003</t>
  </si>
  <si>
    <t>Final Reminder</t>
  </si>
  <si>
    <t>Hi {player_name}, this is a final reminder that ${amount_outstanding} from Monday {session_date} is still unpaid. Please settle up with {organiser_name} as soon as possible. Cheers!</t>
  </si>
  <si>
    <t>SMS + Push + Email</t>
  </si>
  <si>
    <t>TEMPLATE VARIABLES (auto-replaced at send time)</t>
  </si>
  <si>
    <t>Variable</t>
  </si>
  <si>
    <t>Replaced With</t>
  </si>
  <si>
    <t>Example</t>
  </si>
  <si>
    <t>{player_name}</t>
  </si>
  <si>
    <t>Recipient's first name</t>
  </si>
  <si>
    <t>Chris</t>
  </si>
  <si>
    <t>{amount_due}</t>
  </si>
  <si>
    <t>Full amount owed for the session</t>
  </si>
  <si>
    <t>$19.80</t>
  </si>
  <si>
    <t>{amount_outstanding}</t>
  </si>
  <si>
    <t>Remaining unpaid balance</t>
  </si>
  <si>
    <t>$9.80</t>
  </si>
  <si>
    <t>{organiser_name}</t>
  </si>
  <si>
    <t>Name of the Court Payer for session</t>
  </si>
  <si>
    <t>James Fletcher</t>
  </si>
  <si>
    <t>{session_date}</t>
  </si>
  <si>
    <t>Date of the session (DD/MM/YYYY)</t>
  </si>
  <si>
    <t>02/06/2025</t>
  </si>
  <si>
    <t>FOLLOW-UP MESSAGE LOG (sample)</t>
  </si>
  <si>
    <t>Log ID</t>
  </si>
  <si>
    <t>Template Used</t>
  </si>
  <si>
    <t>Sent To (Player ID)</t>
  </si>
  <si>
    <t>Sent At</t>
  </si>
  <si>
    <t>Delivery Status</t>
  </si>
  <si>
    <t>Excluded (Court Payer)?</t>
  </si>
  <si>
    <t>MSG-001</t>
  </si>
  <si>
    <t>2025-06-03 09:00</t>
  </si>
  <si>
    <t>SMS</t>
  </si>
  <si>
    <t>Delivered</t>
  </si>
  <si>
    <t>MSG-002</t>
  </si>
  <si>
    <t>MSG-003</t>
  </si>
  <si>
    <t>NOT SENT — Court Payer</t>
  </si>
  <si>
    <t>MSG-004</t>
  </si>
  <si>
    <t>2025-06-10 08:30</t>
  </si>
  <si>
    <t>MSG-005</t>
  </si>
  <si>
    <t>MSG-006</t>
  </si>
  <si>
    <t>Buffer Amount ($)</t>
  </si>
  <si>
    <t>Visitor Count</t>
  </si>
  <si>
    <t>Visitor Cost ($)</t>
  </si>
  <si>
    <t>Ball/Equip Cost ($)</t>
  </si>
  <si>
    <t>Bibs Cost ($)</t>
  </si>
  <si>
    <t>Total Expenses ($)</t>
  </si>
  <si>
    <t>Buffer Remaining ($)</t>
  </si>
  <si>
    <t>Rollover ($)</t>
  </si>
  <si>
    <t>1 visitor, no extra costs</t>
  </si>
  <si>
    <t>New ball $15</t>
  </si>
  <si>
    <t>2 visitors; new bibs $20</t>
  </si>
  <si>
    <t>Clean session — full rollover</t>
  </si>
  <si>
    <t>TC ID</t>
  </si>
  <si>
    <t>Module</t>
  </si>
  <si>
    <t>Test Case Name</t>
  </si>
  <si>
    <t>Preconditions</t>
  </si>
  <si>
    <t>Test Steps</t>
  </si>
  <si>
    <t>Expected Result</t>
  </si>
  <si>
    <t>Priority</t>
  </si>
  <si>
    <t>Req ID(s)</t>
  </si>
  <si>
    <t>TC001</t>
  </si>
  <si>
    <t>Auth</t>
  </si>
  <si>
    <t>OTP Login — Valid</t>
  </si>
  <si>
    <t>Valid AU mobile registered</t>
  </si>
  <si>
    <t>1. Enter mobile
2. Request OTP
3. Enter correct OTP within 5 min</t>
  </si>
  <si>
    <t>Logged in, redirected to home</t>
  </si>
  <si>
    <t>High</t>
  </si>
  <si>
    <t>Not Run</t>
  </si>
  <si>
    <t>AU-001</t>
  </si>
  <si>
    <t>TC002</t>
  </si>
  <si>
    <t>OTP Login — Wrong OTP</t>
  </si>
  <si>
    <t>Valid AU mobile</t>
  </si>
  <si>
    <t>1. Enter mobile
2. Enter wrong OTP</t>
  </si>
  <si>
    <t>Error shown, attempt counted</t>
  </si>
  <si>
    <t>AU-001,AU-003</t>
  </si>
  <si>
    <t>TC003</t>
  </si>
  <si>
    <t>OTP Expired</t>
  </si>
  <si>
    <t>OTP older than 5 min</t>
  </si>
  <si>
    <t>1. Wait 6 min
2. Enter OTP</t>
  </si>
  <si>
    <t>Error: expired. Resend offered</t>
  </si>
  <si>
    <t>TC004</t>
  </si>
  <si>
    <t>OTP Lockout — 5 fails</t>
  </si>
  <si>
    <t>Valid account</t>
  </si>
  <si>
    <t>1. Enter wrong OTP 5 times</t>
  </si>
  <si>
    <t>Account locked 15 min</t>
  </si>
  <si>
    <t>AU-003</t>
  </si>
  <si>
    <t>TC005</t>
  </si>
  <si>
    <t>Session Persistence</t>
  </si>
  <si>
    <t>Logged in user</t>
  </si>
  <si>
    <t>1. Close app
2. Reopen after 10 min</t>
  </si>
  <si>
    <t>Still logged in</t>
  </si>
  <si>
    <t>Medium</t>
  </si>
  <si>
    <t>AU-004</t>
  </si>
  <si>
    <t>TC006</t>
  </si>
  <si>
    <t>RSVP</t>
  </si>
  <si>
    <t>Core RSVP — Yes</t>
  </si>
  <si>
    <t>Session open, logged in</t>
  </si>
  <si>
    <t>1. Open session
2. Tap I'm In</t>
  </si>
  <si>
    <t>Confirmed. Count updated. Timestamp recorded</t>
  </si>
  <si>
    <t>RV-001,RV-002</t>
  </si>
  <si>
    <t>TC007</t>
  </si>
  <si>
    <t>Core RSVP — No</t>
  </si>
  <si>
    <t>1. Open session
2. Tap Can't Make It</t>
  </si>
  <si>
    <t>Absent status saved</t>
  </si>
  <si>
    <t>RV-002</t>
  </si>
  <si>
    <t>TC008</t>
  </si>
  <si>
    <t>Non-Core joins waitlist</t>
  </si>
  <si>
    <t>Session open, non-core player</t>
  </si>
  <si>
    <t>1. Open link
2. Tap Join Waitlist</t>
  </si>
  <si>
    <t>Added to waitlist with FCFS position shown</t>
  </si>
  <si>
    <t>RV-004</t>
  </si>
  <si>
    <t>TC009</t>
  </si>
  <si>
    <t>Player cancels RSVP</t>
  </si>
  <si>
    <t>Player previously confirmed</t>
  </si>
  <si>
    <t>1. Open session
2. Cancel RSVP</t>
  </si>
  <si>
    <t>Removed from confirmed. Next waitlist player notified</t>
  </si>
  <si>
    <t>RV-008</t>
  </si>
  <si>
    <t>TC010</t>
  </si>
  <si>
    <t>RSVP after close</t>
  </si>
  <si>
    <t>Admin has closed sign-ups</t>
  </si>
  <si>
    <t>1. Try to RSVP</t>
  </si>
  <si>
    <t>Rejected. Sign-ups closed message shown</t>
  </si>
  <si>
    <t>SM-003</t>
  </si>
  <si>
    <t>TC011</t>
  </si>
  <si>
    <t>Waitlist</t>
  </si>
  <si>
    <t>Auto-promote FCFS</t>
  </si>
  <si>
    <t>5 non-core on waitlist, 5 spots open</t>
  </si>
  <si>
    <t>1. Admin taps Promote Waitlist
2. Confirms</t>
  </si>
  <si>
    <t>Top 5 FCFS promoted. Each receives SMS + push</t>
  </si>
  <si>
    <t>RV-005,NT-005</t>
  </si>
  <si>
    <t>TC012</t>
  </si>
  <si>
    <t>Manual select</t>
  </si>
  <si>
    <t>5 on waitlist</t>
  </si>
  <si>
    <t>1. Admin manually selects player #3</t>
  </si>
  <si>
    <t>Player #3 promoted. Others remain on list</t>
  </si>
  <si>
    <t>RV-006</t>
  </si>
  <si>
    <t>TC013</t>
  </si>
  <si>
    <t>Fewer than spots</t>
  </si>
  <si>
    <t>2 on waitlist, 3 spots open</t>
  </si>
  <si>
    <t>1. Admin promotes</t>
  </si>
  <si>
    <t>Both promoted, 1 spot unfilled. No error</t>
  </si>
  <si>
    <t>RV-005</t>
  </si>
  <si>
    <t>TC014</t>
  </si>
  <si>
    <t>Teams</t>
  </si>
  <si>
    <t>Generate 2 Teams</t>
  </si>
  <si>
    <t>10 confirmed, skill ratings set</t>
  </si>
  <si>
    <t>1. Tap Generate Teams</t>
  </si>
  <si>
    <t>2 teams of 5. Balance score ≤ 0.5</t>
  </si>
  <si>
    <t>TG-001,TG-002</t>
  </si>
  <si>
    <t>TC015</t>
  </si>
  <si>
    <t>Generate 3 Teams</t>
  </si>
  <si>
    <t>15 confirmed, skill ratings set</t>
  </si>
  <si>
    <t>3 teams of 5. Balance score ≤ 0.5</t>
  </si>
  <si>
    <t>TG-001,TG-003</t>
  </si>
  <si>
    <t>TC016</t>
  </si>
  <si>
    <t>Admin drag-drop</t>
  </si>
  <si>
    <t>Teams generated</t>
  </si>
  <si>
    <t>1. Drag player A to Team B</t>
  </si>
  <si>
    <t>Teams updated. Balance recalculated</t>
  </si>
  <si>
    <t>TG-004</t>
  </si>
  <si>
    <t>TC017</t>
  </si>
  <si>
    <t>Publish teams</t>
  </si>
  <si>
    <t>Teams finalised</t>
  </si>
  <si>
    <t>1. Tap Publish</t>
  </si>
  <si>
    <t>Push notification sent. Teams visible to all</t>
  </si>
  <si>
    <t>TG-006</t>
  </si>
  <si>
    <t>TC018</t>
  </si>
  <si>
    <t>Insufficient players</t>
  </si>
  <si>
    <t>8 confirmed</t>
  </si>
  <si>
    <t>Warning: not enough for 2 full teams</t>
  </si>
  <si>
    <t>TG-002</t>
  </si>
  <si>
    <t>TC019</t>
  </si>
  <si>
    <t>Bib Colours</t>
  </si>
  <si>
    <t>Default 2 teams</t>
  </si>
  <si>
    <t>2 teams generated</t>
  </si>
  <si>
    <t>1. View team cards</t>
  </si>
  <si>
    <t>Team A = White, Team B = Black. Colour badges shown</t>
  </si>
  <si>
    <t>TG-008</t>
  </si>
  <si>
    <t>TC020</t>
  </si>
  <si>
    <t>Default 3 teams</t>
  </si>
  <si>
    <t>3 teams generated</t>
  </si>
  <si>
    <t>Team A = White, B = Black, C = Red</t>
  </si>
  <si>
    <t>TC021</t>
  </si>
  <si>
    <t>Admin override</t>
  </si>
  <si>
    <t>1. Admin changes Team A to Yellow
2. Publishes</t>
  </si>
  <si>
    <t>Team A shows Yellow. Change persists post-publish</t>
  </si>
  <si>
    <t>TG-009</t>
  </si>
  <si>
    <t>TC022</t>
  </si>
  <si>
    <t>Reset to default</t>
  </si>
  <si>
    <t>Custom colour set</t>
  </si>
  <si>
    <t>1. Admin resets colour</t>
  </si>
  <si>
    <t>Reverts to default. No stale colour shown</t>
  </si>
  <si>
    <t>TC023</t>
  </si>
  <si>
    <t>Bib in RSVP view</t>
  </si>
  <si>
    <t>Teams published</t>
  </si>
  <si>
    <t>1. Player views session</t>
  </si>
  <si>
    <t>Own bib colour shown next to team assignment</t>
  </si>
  <si>
    <t>TC024</t>
  </si>
  <si>
    <t>Payment</t>
  </si>
  <si>
    <t>Cost calc — 2 teams</t>
  </si>
  <si>
    <t>$180 court, 10% buffer, 10 players</t>
  </si>
  <si>
    <t>1. Create session</t>
  </si>
  <si>
    <t>Cost = $19.80 per player</t>
  </si>
  <si>
    <t>PT-001,PT-002</t>
  </si>
  <si>
    <t>TC025</t>
  </si>
  <si>
    <t>Cost calc — 3 teams</t>
  </si>
  <si>
    <t>$180 court, 10% buffer, 15 players</t>
  </si>
  <si>
    <t>Cost = $13.20 per player</t>
  </si>
  <si>
    <t>TC026</t>
  </si>
  <si>
    <t>Admin marks Paid</t>
  </si>
  <si>
    <t>Player owes $19.80</t>
  </si>
  <si>
    <t>1. Admin marks player Paid</t>
  </si>
  <si>
    <t>Status = Paid. Balance cleared</t>
  </si>
  <si>
    <t>PT-004</t>
  </si>
  <si>
    <t>TC027</t>
  </si>
  <si>
    <t>Buffer rollover</t>
  </si>
  <si>
    <t>$18 buffer, $0 expenses</t>
  </si>
  <si>
    <t>1. Close session</t>
  </si>
  <si>
    <t>$18 rollover to next session</t>
  </si>
  <si>
    <t>PT-005</t>
  </si>
  <si>
    <t>TC028</t>
  </si>
  <si>
    <t>Payment View</t>
  </si>
  <si>
    <t>Admin full detail</t>
  </si>
  <si>
    <t>Session with 10 players (8 paid, 2 unpaid)</t>
  </si>
  <si>
    <t>1. Admin opens payment summary</t>
  </si>
  <si>
    <t>Total due $198, collected $158.40, outstanding $39.60. Per-player list visible</t>
  </si>
  <si>
    <t>PT-008</t>
  </si>
  <si>
    <t>TC029</t>
  </si>
  <si>
    <t>Core count-only</t>
  </si>
  <si>
    <t>Same session as TC028</t>
  </si>
  <si>
    <t>1. Core player opens payment view</t>
  </si>
  <si>
    <t>Shows: 8 of 10 paid, 2 outstanding. NO dollar amounts visible</t>
  </si>
  <si>
    <t>PT-009</t>
  </si>
  <si>
    <t>TC030</t>
  </si>
  <si>
    <t>Core blocked from $</t>
  </si>
  <si>
    <t>Core player tries admin URL</t>
  </si>
  <si>
    <t>1. Direct URL access</t>
  </si>
  <si>
    <t>Redirected to count-only view. No $ exposed</t>
  </si>
  <si>
    <t>TC031</t>
  </si>
  <si>
    <t>Non-core own status</t>
  </si>
  <si>
    <t>Non-core player played in session</t>
  </si>
  <si>
    <t>1. Non-core opens payment view</t>
  </si>
  <si>
    <t>Sees own: $13.20 due, $0 paid, Unpaid. No other data</t>
  </si>
  <si>
    <t>PT-010</t>
  </si>
  <si>
    <t>TC032</t>
  </si>
  <si>
    <t>Non-core blocked</t>
  </si>
  <si>
    <t>Non-core tries another player URL</t>
  </si>
  <si>
    <t>Access denied. Own record only returned</t>
  </si>
  <si>
    <t>TC033</t>
  </si>
  <si>
    <t>All paid — admin</t>
  </si>
  <si>
    <t>All 10 players paid</t>
  </si>
  <si>
    <t>1. Admin opens summary</t>
  </si>
  <si>
    <t>Fully paid — $198 collected</t>
  </si>
  <si>
    <t>TC034</t>
  </si>
  <si>
    <t>All paid — core</t>
  </si>
  <si>
    <t>Same session as TC033</t>
  </si>
  <si>
    <t>1. Core player opens</t>
  </si>
  <si>
    <t>10 of 10 paid, 0 outstanding. No $ shown</t>
  </si>
  <si>
    <t>TC035</t>
  </si>
  <si>
    <t>Default court payer</t>
  </si>
  <si>
    <t>Session created by James Fletcher</t>
  </si>
  <si>
    <t>court_payer defaults to session creator (James Fletcher)</t>
  </si>
  <si>
    <t>PT-011</t>
  </si>
  <si>
    <t>TC036</t>
  </si>
  <si>
    <t>Change court payer</t>
  </si>
  <si>
    <t>Admin changes court payer to Michael</t>
  </si>
  <si>
    <t>1. Edit session court payer field</t>
  </si>
  <si>
    <t>Michael Torres now flagged as Court Payer</t>
  </si>
  <si>
    <t>TC037</t>
  </si>
  <si>
    <t>Follow-Up</t>
  </si>
  <si>
    <t>Post-game chase — excludes Court Payer</t>
  </si>
  <si>
    <t>S001: 2 unpaid, 1 is Court Payer</t>
  </si>
  <si>
    <t>1. Admin taps Send Follow-Up (Post-Game)
2. Previews
3. Confirms</t>
  </si>
  <si>
    <t>2 unpaid players receive SMS + push. Court Payer receives nothing. Log updated</t>
  </si>
  <si>
    <t>PT-012,NT-008</t>
  </si>
  <si>
    <t>TC038</t>
  </si>
  <si>
    <t>Pre-game reminder</t>
  </si>
  <si>
    <t>Session tomorrow, 3 unpaid</t>
  </si>
  <si>
    <t>1. Admin sends pre-game template</t>
  </si>
  <si>
    <t>3 unpaid receive reminder. Court Payer excluded</t>
  </si>
  <si>
    <t>TC039</t>
  </si>
  <si>
    <t>Admin edits template</t>
  </si>
  <si>
    <t>Default template loaded</t>
  </si>
  <si>
    <t>1. Admin edits message text
2. Sends</t>
  </si>
  <si>
    <t>Custom text delivered. Original template unchanged</t>
  </si>
  <si>
    <t>PT-013</t>
  </si>
  <si>
    <t>TC040</t>
  </si>
  <si>
    <t>No one to chase</t>
  </si>
  <si>
    <t>All paid except Court Payer</t>
  </si>
  <si>
    <t>1. Admin taps Send Follow-Up</t>
  </si>
  <si>
    <t>System shows: No outstanding players to notify</t>
  </si>
  <si>
    <t>PT-012</t>
  </si>
  <si>
    <t>TC041</t>
  </si>
  <si>
    <t>Court Payer hardcoded exclusion</t>
  </si>
  <si>
    <t>Court Payer manually marked Unpaid</t>
  </si>
  <si>
    <t>1. Admin sends follow-up</t>
  </si>
  <si>
    <t>Court Payer still not in recipient list. Exclusion enforced by system</t>
  </si>
  <si>
    <t>PT-011,PT-012</t>
  </si>
  <si>
    <t>TC042</t>
  </si>
  <si>
    <t>Notify</t>
  </si>
  <si>
    <t>SMS on RSVP open</t>
  </si>
  <si>
    <t>New session created</t>
  </si>
  <si>
    <t>1. Admin sends RSVP link</t>
  </si>
  <si>
    <t>All core players receive SMS within 60 sec</t>
  </si>
  <si>
    <t>NT-002</t>
  </si>
  <si>
    <t>TC043</t>
  </si>
  <si>
    <t>48hr reminder</t>
  </si>
  <si>
    <t>Session in 48h, player not RSVP'd</t>
  </si>
  <si>
    <t>1. Wait for auto-trigger</t>
  </si>
  <si>
    <t>Unconfirmed players receive SMS reminder</t>
  </si>
  <si>
    <t>NT-004</t>
  </si>
  <si>
    <t>TC044</t>
  </si>
  <si>
    <t>Waitlist promotion notify</t>
  </si>
  <si>
    <t>Player promoted from waitlist</t>
  </si>
  <si>
    <t>Promoted player receives push + SMS within 60 sec</t>
  </si>
  <si>
    <t>NT-005,RV-007</t>
  </si>
  <si>
    <t>TC045</t>
  </si>
  <si>
    <t>Cancellation notify</t>
  </si>
  <si>
    <t>Session cancelled</t>
  </si>
  <si>
    <t>1. Admin cancels session</t>
  </si>
  <si>
    <t>All confirmed players receive push + SMS immediately</t>
  </si>
  <si>
    <t>NT-006</t>
  </si>
  <si>
    <t>TC046</t>
  </si>
  <si>
    <t>Security</t>
  </si>
  <si>
    <t>Admin route blocked</t>
  </si>
  <si>
    <t>Logged in as core player</t>
  </si>
  <si>
    <t>1. Access /admin URL directly</t>
  </si>
  <si>
    <t>Redirected to home. Admin UI not visible</t>
  </si>
  <si>
    <t>AU-005</t>
  </si>
  <si>
    <t>TC047</t>
  </si>
  <si>
    <t>Expired JWT</t>
  </si>
  <si>
    <t>Old session token</t>
  </si>
  <si>
    <t>1. Use expired token in API call</t>
  </si>
  <si>
    <t>401 Unauthorised. Re-login prompted</t>
  </si>
  <si>
    <t>TC048</t>
  </si>
  <si>
    <t>SQL injection</t>
  </si>
  <si>
    <t>1. Enter SQL string in mobile field</t>
  </si>
  <si>
    <t>Input sanitised. No error. Treated as invalid mobile</t>
  </si>
  <si>
    <t>PRIORITY LEGEND</t>
  </si>
  <si>
    <t>High — must pass before release</t>
  </si>
  <si>
    <t>Medium — fix before release</t>
  </si>
  <si>
    <t>Low — fix in next sprint</t>
  </si>
  <si>
    <t>david_ibrahim7@hotmail.com</t>
  </si>
  <si>
    <t>marcusboctor03@gmail.com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</si>
</sst>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1F4E79"/>
      <name val="Arial"/>
    </font>
    <font>
      <i/>
      <sz val="9"/>
      <color rgb="FF595959"/>
      <name val="Arial"/>
    </font>
    <font>
      <sz val="10"/>
      <color rgb="FFFFFFFF"/>
      <name val="Arial"/>
    </font>
    <font>
      <sz val="10"/>
      <color rgb="FF000000"/>
      <name val="Arial"/>
    </font>
    <font>
      <b/>
      <sz val="10"/>
      <color rgb="FF1F4E79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AE8F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595959"/>
      </patternFill>
    </fill>
    <fill>
      <patternFill patternType="solid">
        <fgColor rgb="FFFF9999"/>
      </patternFill>
    </fill>
    <fill>
      <patternFill patternType="solid">
        <fgColor rgb="FFFFD966"/>
      </patternFill>
    </fill>
    <fill>
      <patternFill patternType="solid">
        <fgColor rgb="FFF9F9F9"/>
      </patternFill>
    </fill>
    <fill>
      <patternFill patternType="solid">
        <fgColor rgb="FFFFD7D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7" borderId="0" xfId="0" applyFont="1" applyFill="1" applyAlignment="1">
      <alignment wrapText="1"/>
    </xf>
    <xf numFmtId="0" fontId="5" fillId="8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left" wrapText="1"/>
    </xf>
    <xf numFmtId="0" fontId="2" fillId="10" borderId="1" xfId="0" applyFont="1" applyFill="1" applyBorder="1" applyAlignment="1">
      <alignment horizontal="left" wrapText="1"/>
    </xf>
    <xf numFmtId="0" fontId="2" fillId="6" borderId="1" xfId="0" applyFont="1" applyFill="1" applyBorder="1"/>
    <xf numFmtId="0" fontId="5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10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12" borderId="1" xfId="0" applyFont="1" applyFill="1" applyBorder="1" applyAlignment="1">
      <alignment horizontal="left" wrapText="1"/>
    </xf>
    <xf numFmtId="0" fontId="2" fillId="12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12" borderId="1" xfId="0" applyFont="1" applyFill="1" applyBorder="1"/>
    <xf numFmtId="0" fontId="2" fillId="7" borderId="1" xfId="0" applyFont="1" applyFill="1" applyBorder="1"/>
    <xf numFmtId="0" fontId="2" fillId="11" borderId="1" xfId="0" applyFont="1" applyFill="1" applyBorder="1"/>
    <xf numFmtId="0" fontId="0" fillId="0" borderId="2" xfId="0" applyBorder="1"/>
    <xf numFmtId="0" fontId="0" fillId="0" borderId="3" xfId="0" applyBorder="1"/>
    <xf numFmtId="0" fontId="9" fillId="3" borderId="1" xfId="1" applyFill="1" applyBorder="1" applyAlignment="1">
      <alignment horizontal="left" wrapText="1"/>
    </xf>
    <xf numFmtId="0" fontId="9" fillId="4" borderId="1" xfId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cusboctor03@gmail.com" TargetMode="External"/><Relationship Id="rId1" Type="http://schemas.openxmlformats.org/officeDocument/2006/relationships/hyperlink" Target="mailto:david_ibrahim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2" workbookViewId="0">
      <selection activeCell="D5" sqref="D5"/>
    </sheetView>
  </sheetViews>
  <sheetFormatPr defaultRowHeight="14.25" x14ac:dyDescent="0.45"/>
  <cols>
    <col min="1" max="1" width="10" customWidth="1"/>
    <col min="2" max="2" width="22" customWidth="1"/>
    <col min="3" max="3" width="18" customWidth="1"/>
    <col min="4" max="4" width="28" customWidth="1"/>
    <col min="5" max="5" width="12" customWidth="1"/>
    <col min="6" max="6" width="18" customWidth="1"/>
    <col min="7" max="7" width="12" customWidth="1"/>
    <col min="8" max="8" width="16" customWidth="1"/>
    <col min="9" max="9" width="10" customWidth="1"/>
    <col min="10" max="10" width="30" customWidth="1"/>
  </cols>
  <sheetData>
    <row r="1" spans="1:10" ht="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6.25" x14ac:dyDescent="0.45">
      <c r="A3" s="2" t="s">
        <v>19</v>
      </c>
      <c r="B3" s="2" t="s">
        <v>20</v>
      </c>
      <c r="C3" s="2" t="s">
        <v>21</v>
      </c>
      <c r="D3" s="2" t="s">
        <v>22</v>
      </c>
      <c r="E3" s="2" t="s">
        <v>14</v>
      </c>
      <c r="F3" s="2">
        <v>4</v>
      </c>
      <c r="G3" s="2" t="s">
        <v>15</v>
      </c>
      <c r="H3" s="2" t="s">
        <v>23</v>
      </c>
      <c r="I3" s="2" t="s">
        <v>17</v>
      </c>
      <c r="J3" s="2" t="s">
        <v>24</v>
      </c>
    </row>
    <row r="4" spans="1:10" x14ac:dyDescent="0.45">
      <c r="A4" s="3" t="s">
        <v>25</v>
      </c>
      <c r="B4" s="3" t="s">
        <v>26</v>
      </c>
      <c r="C4" s="3" t="s">
        <v>27</v>
      </c>
      <c r="D4" s="43" t="s">
        <v>671</v>
      </c>
      <c r="E4" s="3" t="s">
        <v>14</v>
      </c>
      <c r="F4" s="3">
        <v>3</v>
      </c>
      <c r="G4" s="3" t="s">
        <v>28</v>
      </c>
      <c r="H4" s="3" t="s">
        <v>23</v>
      </c>
      <c r="I4" s="3" t="s">
        <v>17</v>
      </c>
      <c r="J4" s="3" t="s">
        <v>29</v>
      </c>
    </row>
    <row r="5" spans="1:10" ht="26.25" x14ac:dyDescent="0.45">
      <c r="A5" s="2" t="s">
        <v>30</v>
      </c>
      <c r="B5" s="2" t="s">
        <v>31</v>
      </c>
      <c r="C5" s="2" t="s">
        <v>32</v>
      </c>
      <c r="D5" s="42" t="s">
        <v>670</v>
      </c>
      <c r="E5" s="2" t="s">
        <v>14</v>
      </c>
      <c r="F5" s="2">
        <v>4</v>
      </c>
      <c r="G5" s="2" t="s">
        <v>15</v>
      </c>
      <c r="H5" s="2" t="s">
        <v>23</v>
      </c>
      <c r="I5" s="2" t="s">
        <v>17</v>
      </c>
      <c r="J5" s="2" t="s">
        <v>33</v>
      </c>
    </row>
    <row r="6" spans="1:10" x14ac:dyDescent="0.45">
      <c r="A6" s="3" t="s">
        <v>34</v>
      </c>
      <c r="B6" s="3" t="s">
        <v>35</v>
      </c>
      <c r="C6" s="3" t="s">
        <v>36</v>
      </c>
      <c r="D6" s="3" t="s">
        <v>37</v>
      </c>
      <c r="E6" s="3" t="s">
        <v>14</v>
      </c>
      <c r="F6" s="3">
        <v>3</v>
      </c>
      <c r="G6" s="3" t="s">
        <v>28</v>
      </c>
      <c r="H6" s="3" t="s">
        <v>23</v>
      </c>
      <c r="I6" s="3" t="s">
        <v>17</v>
      </c>
      <c r="J6" s="3"/>
    </row>
    <row r="7" spans="1:10" x14ac:dyDescent="0.45">
      <c r="A7" s="3" t="s">
        <v>38</v>
      </c>
      <c r="B7" s="3" t="s">
        <v>39</v>
      </c>
      <c r="C7" s="3" t="s">
        <v>40</v>
      </c>
      <c r="D7" s="3" t="s">
        <v>41</v>
      </c>
      <c r="E7" s="3" t="s">
        <v>14</v>
      </c>
      <c r="F7" s="3">
        <v>4</v>
      </c>
      <c r="G7" s="3" t="s">
        <v>28</v>
      </c>
      <c r="H7" s="3" t="s">
        <v>23</v>
      </c>
      <c r="I7" s="3" t="s">
        <v>17</v>
      </c>
      <c r="J7" s="3"/>
    </row>
    <row r="8" spans="1:10" x14ac:dyDescent="0.45">
      <c r="A8" s="3" t="s">
        <v>42</v>
      </c>
      <c r="B8" s="3" t="s">
        <v>43</v>
      </c>
      <c r="C8" s="3" t="s">
        <v>44</v>
      </c>
      <c r="D8" s="3" t="s">
        <v>45</v>
      </c>
      <c r="E8" s="3" t="s">
        <v>14</v>
      </c>
      <c r="F8" s="3">
        <v>3</v>
      </c>
      <c r="G8" s="3" t="s">
        <v>28</v>
      </c>
      <c r="H8" s="3" t="s">
        <v>23</v>
      </c>
      <c r="I8" s="3" t="s">
        <v>17</v>
      </c>
      <c r="J8" s="3"/>
    </row>
    <row r="9" spans="1:10" x14ac:dyDescent="0.45">
      <c r="A9" s="3" t="s">
        <v>46</v>
      </c>
      <c r="B9" s="3" t="s">
        <v>47</v>
      </c>
      <c r="C9" s="3" t="s">
        <v>48</v>
      </c>
      <c r="D9" s="3" t="s">
        <v>49</v>
      </c>
      <c r="E9" s="3" t="s">
        <v>14</v>
      </c>
      <c r="F9" s="3">
        <v>5</v>
      </c>
      <c r="G9" s="3" t="s">
        <v>28</v>
      </c>
      <c r="H9" s="3" t="s">
        <v>23</v>
      </c>
      <c r="I9" s="3" t="s">
        <v>17</v>
      </c>
      <c r="J9" s="3"/>
    </row>
    <row r="10" spans="1:10" x14ac:dyDescent="0.45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14</v>
      </c>
      <c r="F10" s="3">
        <v>2</v>
      </c>
      <c r="G10" s="3" t="s">
        <v>28</v>
      </c>
      <c r="H10" s="3" t="s">
        <v>23</v>
      </c>
      <c r="I10" s="3" t="s">
        <v>17</v>
      </c>
      <c r="J10" s="3"/>
    </row>
    <row r="11" spans="1:10" x14ac:dyDescent="0.45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14</v>
      </c>
      <c r="F11" s="3">
        <v>3</v>
      </c>
      <c r="G11" s="3" t="s">
        <v>28</v>
      </c>
      <c r="H11" s="3" t="s">
        <v>23</v>
      </c>
      <c r="I11" s="3" t="s">
        <v>17</v>
      </c>
      <c r="J11" s="3"/>
    </row>
    <row r="12" spans="1:10" x14ac:dyDescent="0.4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14</v>
      </c>
      <c r="F12" s="3">
        <v>4</v>
      </c>
      <c r="G12" s="3" t="s">
        <v>28</v>
      </c>
      <c r="H12" s="3" t="s">
        <v>23</v>
      </c>
      <c r="I12" s="3" t="s">
        <v>17</v>
      </c>
      <c r="J12" s="3"/>
    </row>
    <row r="13" spans="1:10" x14ac:dyDescent="0.4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14</v>
      </c>
      <c r="F13" s="3">
        <v>3</v>
      </c>
      <c r="G13" s="3" t="s">
        <v>28</v>
      </c>
      <c r="H13" s="3" t="s">
        <v>23</v>
      </c>
      <c r="I13" s="3" t="s">
        <v>17</v>
      </c>
      <c r="J13" s="3"/>
    </row>
    <row r="14" spans="1:10" x14ac:dyDescent="0.45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14</v>
      </c>
      <c r="F14" s="3">
        <v>4</v>
      </c>
      <c r="G14" s="3" t="s">
        <v>28</v>
      </c>
      <c r="H14" s="3" t="s">
        <v>23</v>
      </c>
      <c r="I14" s="3" t="s">
        <v>17</v>
      </c>
      <c r="J14" s="3"/>
    </row>
    <row r="15" spans="1:10" x14ac:dyDescent="0.4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14</v>
      </c>
      <c r="F15" s="3">
        <v>2</v>
      </c>
      <c r="G15" s="3" t="s">
        <v>28</v>
      </c>
      <c r="H15" s="3" t="s">
        <v>23</v>
      </c>
      <c r="I15" s="3" t="s">
        <v>17</v>
      </c>
      <c r="J15" s="3"/>
    </row>
    <row r="16" spans="1:10" x14ac:dyDescent="0.45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14</v>
      </c>
      <c r="F16" s="3">
        <v>3</v>
      </c>
      <c r="G16" s="3" t="s">
        <v>28</v>
      </c>
      <c r="H16" s="3" t="s">
        <v>23</v>
      </c>
      <c r="I16" s="3" t="s">
        <v>17</v>
      </c>
      <c r="J16" s="3"/>
    </row>
    <row r="17" spans="1:10" x14ac:dyDescent="0.45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14</v>
      </c>
      <c r="F17" s="3">
        <v>5</v>
      </c>
      <c r="G17" s="3" t="s">
        <v>28</v>
      </c>
      <c r="H17" s="3" t="s">
        <v>23</v>
      </c>
      <c r="I17" s="3" t="s">
        <v>17</v>
      </c>
      <c r="J17" s="3"/>
    </row>
    <row r="18" spans="1:10" x14ac:dyDescent="0.45">
      <c r="A18" s="3" t="s">
        <v>82</v>
      </c>
      <c r="B18" s="3" t="s">
        <v>83</v>
      </c>
      <c r="C18" s="3" t="s">
        <v>84</v>
      </c>
      <c r="D18" s="3" t="s">
        <v>85</v>
      </c>
      <c r="E18" s="3" t="s">
        <v>14</v>
      </c>
      <c r="F18" s="3">
        <v>4</v>
      </c>
      <c r="G18" s="3" t="s">
        <v>28</v>
      </c>
      <c r="H18" s="3" t="s">
        <v>23</v>
      </c>
      <c r="I18" s="3" t="s">
        <v>17</v>
      </c>
      <c r="J18" s="3"/>
    </row>
    <row r="19" spans="1:10" x14ac:dyDescent="0.45">
      <c r="A19" s="3" t="s">
        <v>86</v>
      </c>
      <c r="B19" s="3" t="s">
        <v>87</v>
      </c>
      <c r="C19" s="3" t="s">
        <v>88</v>
      </c>
      <c r="D19" s="3" t="s">
        <v>89</v>
      </c>
      <c r="E19" s="3" t="s">
        <v>14</v>
      </c>
      <c r="F19" s="3">
        <v>3</v>
      </c>
      <c r="G19" s="3" t="s">
        <v>28</v>
      </c>
      <c r="H19" s="3" t="s">
        <v>23</v>
      </c>
      <c r="I19" s="3" t="s">
        <v>17</v>
      </c>
      <c r="J19" s="3"/>
    </row>
    <row r="20" spans="1:10" x14ac:dyDescent="0.45">
      <c r="A20" s="3" t="s">
        <v>90</v>
      </c>
      <c r="B20" s="3" t="s">
        <v>91</v>
      </c>
      <c r="C20" s="3" t="s">
        <v>92</v>
      </c>
      <c r="D20" s="3" t="s">
        <v>93</v>
      </c>
      <c r="E20" s="3" t="s">
        <v>14</v>
      </c>
      <c r="F20" s="3">
        <v>2</v>
      </c>
      <c r="G20" s="3" t="s">
        <v>28</v>
      </c>
      <c r="H20" s="3" t="s">
        <v>23</v>
      </c>
      <c r="I20" s="3" t="s">
        <v>17</v>
      </c>
      <c r="J20" s="3"/>
    </row>
    <row r="21" spans="1:10" x14ac:dyDescent="0.45">
      <c r="A21" s="3" t="s">
        <v>94</v>
      </c>
      <c r="B21" s="3" t="s">
        <v>95</v>
      </c>
      <c r="C21" s="3" t="s">
        <v>96</v>
      </c>
      <c r="D21" s="3" t="s">
        <v>97</v>
      </c>
      <c r="E21" s="3" t="s">
        <v>14</v>
      </c>
      <c r="F21" s="3">
        <v>4</v>
      </c>
      <c r="G21" s="3" t="s">
        <v>28</v>
      </c>
      <c r="H21" s="3" t="s">
        <v>23</v>
      </c>
      <c r="I21" s="3" t="s">
        <v>17</v>
      </c>
      <c r="J21" s="3"/>
    </row>
    <row r="22" spans="1:10" x14ac:dyDescent="0.45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14</v>
      </c>
      <c r="F22" s="3">
        <v>3</v>
      </c>
      <c r="G22" s="3" t="s">
        <v>28</v>
      </c>
      <c r="H22" s="3" t="s">
        <v>23</v>
      </c>
      <c r="I22" s="3" t="s">
        <v>17</v>
      </c>
      <c r="J22" s="3"/>
    </row>
    <row r="23" spans="1:10" x14ac:dyDescent="0.45">
      <c r="A23" s="3" t="s">
        <v>102</v>
      </c>
      <c r="B23" s="3" t="s">
        <v>103</v>
      </c>
      <c r="C23" s="3" t="s">
        <v>104</v>
      </c>
      <c r="D23" s="3" t="s">
        <v>105</v>
      </c>
      <c r="E23" s="3" t="s">
        <v>14</v>
      </c>
      <c r="F23" s="3">
        <v>3</v>
      </c>
      <c r="G23" s="3" t="s">
        <v>28</v>
      </c>
      <c r="H23" s="3" t="s">
        <v>23</v>
      </c>
      <c r="I23" s="3" t="s">
        <v>17</v>
      </c>
      <c r="J23" s="3"/>
    </row>
    <row r="24" spans="1:10" x14ac:dyDescent="0.45">
      <c r="A24" s="3" t="s">
        <v>106</v>
      </c>
      <c r="B24" s="3" t="s">
        <v>107</v>
      </c>
      <c r="C24" s="3" t="s">
        <v>108</v>
      </c>
      <c r="D24" s="3" t="s">
        <v>109</v>
      </c>
      <c r="E24" s="3" t="s">
        <v>14</v>
      </c>
      <c r="F24" s="3">
        <v>4</v>
      </c>
      <c r="G24" s="3" t="s">
        <v>28</v>
      </c>
      <c r="H24" s="3" t="s">
        <v>23</v>
      </c>
      <c r="I24" s="3" t="s">
        <v>110</v>
      </c>
      <c r="J24" s="3" t="s">
        <v>111</v>
      </c>
    </row>
    <row r="25" spans="1:10" x14ac:dyDescent="0.45">
      <c r="A25" s="3" t="s">
        <v>112</v>
      </c>
      <c r="B25" s="3" t="s">
        <v>113</v>
      </c>
      <c r="C25" s="3" t="s">
        <v>114</v>
      </c>
      <c r="D25" s="3" t="s">
        <v>115</v>
      </c>
      <c r="E25" s="3" t="s">
        <v>14</v>
      </c>
      <c r="F25" s="3">
        <v>2</v>
      </c>
      <c r="G25" s="3" t="s">
        <v>28</v>
      </c>
      <c r="H25" s="3" t="s">
        <v>23</v>
      </c>
      <c r="I25" s="3" t="s">
        <v>17</v>
      </c>
      <c r="J25" s="3"/>
    </row>
    <row r="26" spans="1:10" x14ac:dyDescent="0.45">
      <c r="A26" s="3" t="s">
        <v>116</v>
      </c>
      <c r="B26" s="3" t="s">
        <v>117</v>
      </c>
      <c r="C26" s="3" t="s">
        <v>118</v>
      </c>
      <c r="D26" s="3" t="s">
        <v>119</v>
      </c>
      <c r="E26" s="3" t="s">
        <v>14</v>
      </c>
      <c r="F26" s="3">
        <v>3</v>
      </c>
      <c r="G26" s="3" t="s">
        <v>28</v>
      </c>
      <c r="H26" s="3" t="s">
        <v>23</v>
      </c>
      <c r="I26" s="3" t="s">
        <v>17</v>
      </c>
      <c r="J26" s="3"/>
    </row>
    <row r="27" spans="1:10" x14ac:dyDescent="0.45">
      <c r="A27" s="3" t="s">
        <v>120</v>
      </c>
      <c r="B27" s="3" t="s">
        <v>121</v>
      </c>
      <c r="C27" s="3" t="s">
        <v>122</v>
      </c>
      <c r="D27" s="3" t="s">
        <v>123</v>
      </c>
      <c r="E27" s="3" t="s">
        <v>14</v>
      </c>
      <c r="F27" s="3">
        <v>4</v>
      </c>
      <c r="G27" s="3" t="s">
        <v>28</v>
      </c>
      <c r="H27" s="3" t="s">
        <v>23</v>
      </c>
      <c r="I27" s="3" t="s">
        <v>17</v>
      </c>
      <c r="J27" s="3"/>
    </row>
    <row r="28" spans="1:10" x14ac:dyDescent="0.45">
      <c r="A28" s="3" t="s">
        <v>124</v>
      </c>
      <c r="B28" s="3" t="s">
        <v>125</v>
      </c>
      <c r="C28" s="3" t="s">
        <v>126</v>
      </c>
      <c r="D28" s="3" t="s">
        <v>127</v>
      </c>
      <c r="E28" s="3" t="s">
        <v>14</v>
      </c>
      <c r="F28" s="3">
        <v>3</v>
      </c>
      <c r="G28" s="3" t="s">
        <v>28</v>
      </c>
      <c r="H28" s="3" t="s">
        <v>23</v>
      </c>
      <c r="I28" s="3" t="s">
        <v>17</v>
      </c>
      <c r="J28" s="3"/>
    </row>
    <row r="29" spans="1:10" x14ac:dyDescent="0.45">
      <c r="A29" s="3" t="s">
        <v>128</v>
      </c>
      <c r="B29" s="3" t="s">
        <v>129</v>
      </c>
      <c r="C29" s="3" t="s">
        <v>130</v>
      </c>
      <c r="D29" s="3" t="s">
        <v>131</v>
      </c>
      <c r="E29" s="3" t="s">
        <v>14</v>
      </c>
      <c r="F29" s="3">
        <v>5</v>
      </c>
      <c r="G29" s="3" t="s">
        <v>28</v>
      </c>
      <c r="H29" s="3" t="s">
        <v>23</v>
      </c>
      <c r="I29" s="3" t="s">
        <v>17</v>
      </c>
      <c r="J29" s="3"/>
    </row>
    <row r="30" spans="1:10" x14ac:dyDescent="0.45">
      <c r="A30" s="3" t="s">
        <v>132</v>
      </c>
      <c r="B30" s="3" t="s">
        <v>133</v>
      </c>
      <c r="C30" s="3" t="s">
        <v>134</v>
      </c>
      <c r="D30" s="3" t="s">
        <v>135</v>
      </c>
      <c r="E30" s="3" t="s">
        <v>14</v>
      </c>
      <c r="F30" s="3">
        <v>2</v>
      </c>
      <c r="G30" s="3" t="s">
        <v>28</v>
      </c>
      <c r="H30" s="3" t="s">
        <v>23</v>
      </c>
      <c r="I30" s="3" t="s">
        <v>17</v>
      </c>
      <c r="J30" s="3"/>
    </row>
    <row r="31" spans="1:10" x14ac:dyDescent="0.45">
      <c r="A31" s="4" t="s">
        <v>136</v>
      </c>
      <c r="B31" s="4" t="s">
        <v>137</v>
      </c>
      <c r="C31" s="4" t="s">
        <v>138</v>
      </c>
      <c r="D31" s="4" t="s">
        <v>139</v>
      </c>
      <c r="E31" s="4" t="s">
        <v>140</v>
      </c>
      <c r="F31" s="4">
        <v>3</v>
      </c>
      <c r="G31" s="4" t="s">
        <v>28</v>
      </c>
      <c r="H31" s="4" t="s">
        <v>23</v>
      </c>
      <c r="I31" s="4" t="s">
        <v>17</v>
      </c>
      <c r="J31" s="4" t="s">
        <v>141</v>
      </c>
    </row>
    <row r="32" spans="1:10" x14ac:dyDescent="0.45">
      <c r="A32" s="4" t="s">
        <v>142</v>
      </c>
      <c r="B32" s="4" t="s">
        <v>143</v>
      </c>
      <c r="C32" s="4" t="s">
        <v>144</v>
      </c>
      <c r="D32" s="4" t="s">
        <v>145</v>
      </c>
      <c r="E32" s="4" t="s">
        <v>140</v>
      </c>
      <c r="F32" s="4">
        <v>4</v>
      </c>
      <c r="G32" s="4" t="s">
        <v>28</v>
      </c>
      <c r="H32" s="4" t="s">
        <v>23</v>
      </c>
      <c r="I32" s="4" t="s">
        <v>17</v>
      </c>
      <c r="J32" s="4" t="s">
        <v>146</v>
      </c>
    </row>
    <row r="33" spans="1:10" x14ac:dyDescent="0.45">
      <c r="A33" s="4" t="s">
        <v>147</v>
      </c>
      <c r="B33" s="4" t="s">
        <v>148</v>
      </c>
      <c r="C33" s="4" t="s">
        <v>149</v>
      </c>
      <c r="D33" s="4" t="s">
        <v>150</v>
      </c>
      <c r="E33" s="4" t="s">
        <v>140</v>
      </c>
      <c r="F33" s="4">
        <v>2</v>
      </c>
      <c r="G33" s="4" t="s">
        <v>28</v>
      </c>
      <c r="H33" s="4" t="s">
        <v>23</v>
      </c>
      <c r="I33" s="4" t="s">
        <v>17</v>
      </c>
      <c r="J33" s="4" t="s">
        <v>151</v>
      </c>
    </row>
    <row r="34" spans="1:10" x14ac:dyDescent="0.45">
      <c r="A34" s="4" t="s">
        <v>152</v>
      </c>
      <c r="B34" s="4" t="s">
        <v>153</v>
      </c>
      <c r="C34" s="4" t="s">
        <v>154</v>
      </c>
      <c r="D34" s="4" t="s">
        <v>155</v>
      </c>
      <c r="E34" s="4" t="s">
        <v>140</v>
      </c>
      <c r="F34" s="4">
        <v>3</v>
      </c>
      <c r="G34" s="4" t="s">
        <v>28</v>
      </c>
      <c r="H34" s="4" t="s">
        <v>23</v>
      </c>
      <c r="I34" s="4" t="s">
        <v>17</v>
      </c>
      <c r="J34" s="4" t="s">
        <v>156</v>
      </c>
    </row>
    <row r="35" spans="1:10" x14ac:dyDescent="0.45">
      <c r="A35" s="4" t="s">
        <v>157</v>
      </c>
      <c r="B35" s="4" t="s">
        <v>158</v>
      </c>
      <c r="C35" s="4" t="s">
        <v>159</v>
      </c>
      <c r="D35" s="4" t="s">
        <v>160</v>
      </c>
      <c r="E35" s="4" t="s">
        <v>140</v>
      </c>
      <c r="F35" s="4">
        <v>3</v>
      </c>
      <c r="G35" s="4" t="s">
        <v>28</v>
      </c>
      <c r="H35" s="4" t="s">
        <v>23</v>
      </c>
      <c r="I35" s="4" t="s">
        <v>17</v>
      </c>
      <c r="J35" s="4" t="s">
        <v>161</v>
      </c>
    </row>
    <row r="36" spans="1:10" x14ac:dyDescent="0.45">
      <c r="A36" s="4" t="s">
        <v>162</v>
      </c>
      <c r="B36" s="4" t="s">
        <v>163</v>
      </c>
      <c r="C36" s="4" t="s">
        <v>164</v>
      </c>
      <c r="D36" s="4" t="s">
        <v>165</v>
      </c>
      <c r="E36" s="4" t="s">
        <v>140</v>
      </c>
      <c r="F36" s="4">
        <v>4</v>
      </c>
      <c r="G36" s="4" t="s">
        <v>28</v>
      </c>
      <c r="H36" s="4" t="s">
        <v>23</v>
      </c>
      <c r="I36" s="4" t="s">
        <v>17</v>
      </c>
      <c r="J36" s="4" t="s">
        <v>166</v>
      </c>
    </row>
    <row r="37" spans="1:10" x14ac:dyDescent="0.45">
      <c r="A37" s="4" t="s">
        <v>167</v>
      </c>
      <c r="B37" s="4" t="s">
        <v>168</v>
      </c>
      <c r="C37" s="4" t="s">
        <v>169</v>
      </c>
      <c r="D37" s="4" t="s">
        <v>170</v>
      </c>
      <c r="E37" s="4" t="s">
        <v>140</v>
      </c>
      <c r="F37" s="4">
        <v>2</v>
      </c>
      <c r="G37" s="4" t="s">
        <v>28</v>
      </c>
      <c r="H37" s="4" t="s">
        <v>23</v>
      </c>
      <c r="I37" s="4" t="s">
        <v>17</v>
      </c>
      <c r="J37" s="4" t="s">
        <v>171</v>
      </c>
    </row>
    <row r="38" spans="1:10" x14ac:dyDescent="0.45">
      <c r="A38" s="4" t="s">
        <v>172</v>
      </c>
      <c r="B38" s="4" t="s">
        <v>173</v>
      </c>
      <c r="C38" s="4" t="s">
        <v>174</v>
      </c>
      <c r="D38" s="4" t="s">
        <v>175</v>
      </c>
      <c r="E38" s="4" t="s">
        <v>140</v>
      </c>
      <c r="F38" s="4">
        <v>3</v>
      </c>
      <c r="G38" s="4" t="s">
        <v>28</v>
      </c>
      <c r="H38" s="4" t="s">
        <v>23</v>
      </c>
      <c r="I38" s="4" t="s">
        <v>17</v>
      </c>
      <c r="J38" s="4" t="s">
        <v>176</v>
      </c>
    </row>
    <row r="41" spans="1:10" x14ac:dyDescent="0.45">
      <c r="A41" s="5" t="s">
        <v>177</v>
      </c>
    </row>
    <row r="42" spans="1:10" x14ac:dyDescent="0.45">
      <c r="A42" s="6" t="s">
        <v>178</v>
      </c>
    </row>
    <row r="43" spans="1:10" x14ac:dyDescent="0.45">
      <c r="A43" s="7" t="s">
        <v>179</v>
      </c>
    </row>
    <row r="44" spans="1:10" x14ac:dyDescent="0.45">
      <c r="A44" s="8" t="s">
        <v>180</v>
      </c>
    </row>
  </sheetData>
  <hyperlinks>
    <hyperlink ref="D5" r:id="rId1" xr:uid="{2BFFD35C-6FD7-46A9-AF56-79E786EEC022}"/>
    <hyperlink ref="D4" r:id="rId2" xr:uid="{7657B93A-F8CE-4FF4-B2DD-DBC4CAE3C92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/>
  </sheetViews>
  <sheetFormatPr defaultRowHeight="14.25" x14ac:dyDescent="0.45"/>
  <cols>
    <col min="1" max="1" width="10" customWidth="1"/>
    <col min="2" max="2" width="14" customWidth="1"/>
    <col min="3" max="3" width="12" customWidth="1"/>
    <col min="4" max="4" width="18" customWidth="1"/>
    <col min="5" max="5" width="14" customWidth="1"/>
    <col min="6" max="6" width="10" customWidth="1"/>
    <col min="7" max="9" width="14" customWidth="1"/>
    <col min="10" max="10" width="18" customWidth="1"/>
    <col min="11" max="11" width="14" customWidth="1"/>
    <col min="12" max="12" width="12" customWidth="1"/>
  </cols>
  <sheetData>
    <row r="1" spans="1:12" ht="35" customHeight="1" x14ac:dyDescent="0.4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8</v>
      </c>
    </row>
    <row r="2" spans="1:12" x14ac:dyDescent="0.45">
      <c r="A2" s="9" t="s">
        <v>192</v>
      </c>
      <c r="B2" s="9" t="s">
        <v>193</v>
      </c>
      <c r="C2" s="9" t="s">
        <v>194</v>
      </c>
      <c r="D2" s="9">
        <v>10</v>
      </c>
      <c r="E2" s="9">
        <v>180</v>
      </c>
      <c r="F2" s="9">
        <v>10</v>
      </c>
      <c r="G2" s="9">
        <f>E2*F2/100</f>
        <v>18</v>
      </c>
      <c r="H2" s="9">
        <f>E2+G2</f>
        <v>198</v>
      </c>
      <c r="I2" s="9">
        <f>H2/D2</f>
        <v>19.8</v>
      </c>
      <c r="J2" s="9" t="s">
        <v>11</v>
      </c>
      <c r="K2" s="9" t="s">
        <v>10</v>
      </c>
      <c r="L2" s="9" t="s">
        <v>195</v>
      </c>
    </row>
    <row r="3" spans="1:12" x14ac:dyDescent="0.45">
      <c r="A3" s="10" t="s">
        <v>196</v>
      </c>
      <c r="B3" s="10" t="s">
        <v>197</v>
      </c>
      <c r="C3" s="10" t="s">
        <v>198</v>
      </c>
      <c r="D3" s="10">
        <v>15</v>
      </c>
      <c r="E3" s="10">
        <v>180</v>
      </c>
      <c r="F3" s="10">
        <v>10</v>
      </c>
      <c r="G3" s="10">
        <f>E3*F3/100</f>
        <v>18</v>
      </c>
      <c r="H3" s="10">
        <f>E3+G3</f>
        <v>198</v>
      </c>
      <c r="I3" s="10">
        <f>H3/D3</f>
        <v>13.2</v>
      </c>
      <c r="J3" s="10" t="s">
        <v>20</v>
      </c>
      <c r="K3" s="10" t="s">
        <v>19</v>
      </c>
      <c r="L3" s="10" t="s">
        <v>195</v>
      </c>
    </row>
    <row r="4" spans="1:12" x14ac:dyDescent="0.45">
      <c r="A4" s="9" t="s">
        <v>199</v>
      </c>
      <c r="B4" s="9" t="s">
        <v>200</v>
      </c>
      <c r="C4" s="9" t="s">
        <v>198</v>
      </c>
      <c r="D4" s="9">
        <v>14</v>
      </c>
      <c r="E4" s="9">
        <v>180</v>
      </c>
      <c r="F4" s="9">
        <v>15</v>
      </c>
      <c r="G4" s="9">
        <f>E4*F4/100</f>
        <v>27</v>
      </c>
      <c r="H4" s="9">
        <f>E4+G4</f>
        <v>207</v>
      </c>
      <c r="I4" s="9">
        <f>H4/D4</f>
        <v>14.785714285714286</v>
      </c>
      <c r="J4" s="9" t="s">
        <v>11</v>
      </c>
      <c r="K4" s="9" t="s">
        <v>10</v>
      </c>
      <c r="L4" s="9" t="s">
        <v>195</v>
      </c>
    </row>
    <row r="5" spans="1:12" x14ac:dyDescent="0.45">
      <c r="A5" s="10" t="s">
        <v>201</v>
      </c>
      <c r="B5" s="10" t="s">
        <v>202</v>
      </c>
      <c r="C5" s="10" t="s">
        <v>194</v>
      </c>
      <c r="D5" s="10">
        <v>10</v>
      </c>
      <c r="E5" s="10">
        <v>180</v>
      </c>
      <c r="F5" s="10">
        <v>10</v>
      </c>
      <c r="G5" s="10">
        <f>E5*F5/100</f>
        <v>18</v>
      </c>
      <c r="H5" s="10">
        <f>E5+G5</f>
        <v>198</v>
      </c>
      <c r="I5" s="10">
        <f>H5/D5</f>
        <v>19.8</v>
      </c>
      <c r="J5" s="10" t="s">
        <v>31</v>
      </c>
      <c r="K5" s="10" t="s">
        <v>30</v>
      </c>
      <c r="L5" s="10" t="s">
        <v>195</v>
      </c>
    </row>
    <row r="6" spans="1:12" x14ac:dyDescent="0.45">
      <c r="A6" s="9" t="s">
        <v>203</v>
      </c>
      <c r="B6" s="9" t="s">
        <v>204</v>
      </c>
      <c r="C6" s="9" t="s">
        <v>198</v>
      </c>
      <c r="D6" s="9">
        <v>15</v>
      </c>
      <c r="E6" s="9">
        <v>180</v>
      </c>
      <c r="F6" s="9">
        <v>10</v>
      </c>
      <c r="G6" s="9">
        <f>E6*F6/100</f>
        <v>18</v>
      </c>
      <c r="H6" s="9">
        <f>E6+G6</f>
        <v>198</v>
      </c>
      <c r="I6" s="9">
        <f>H6/D6</f>
        <v>13.2</v>
      </c>
      <c r="J6" s="9" t="s">
        <v>11</v>
      </c>
      <c r="K6" s="9" t="s">
        <v>10</v>
      </c>
      <c r="L6" s="9" t="s">
        <v>205</v>
      </c>
    </row>
    <row r="8" spans="1:12" ht="128.65" x14ac:dyDescent="0.45">
      <c r="A8" s="11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25" x14ac:dyDescent="0.45"/>
  <cols>
    <col min="1" max="1" width="10" customWidth="1"/>
    <col min="2" max="2" width="12" customWidth="1"/>
    <col min="3" max="3" width="14" customWidth="1"/>
    <col min="4" max="4" width="20" customWidth="1"/>
    <col min="5" max="5" width="55" customWidth="1"/>
    <col min="6" max="6" width="18" customWidth="1"/>
    <col min="7" max="7" width="12" customWidth="1"/>
  </cols>
  <sheetData>
    <row r="1" spans="1:7" ht="35" customHeight="1" x14ac:dyDescent="0.45">
      <c r="A1" s="1" t="s">
        <v>181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</row>
    <row r="2" spans="1:7" ht="26.25" x14ac:dyDescent="0.45">
      <c r="A2" s="10" t="s">
        <v>192</v>
      </c>
      <c r="B2" s="10" t="s">
        <v>213</v>
      </c>
      <c r="C2" s="9" t="s">
        <v>214</v>
      </c>
      <c r="D2" s="10" t="s">
        <v>215</v>
      </c>
      <c r="E2" s="10" t="s">
        <v>216</v>
      </c>
      <c r="F2" s="10">
        <v>3.6</v>
      </c>
      <c r="G2" s="10" t="s">
        <v>16</v>
      </c>
    </row>
    <row r="3" spans="1:7" ht="26.25" x14ac:dyDescent="0.45">
      <c r="A3" s="10" t="s">
        <v>192</v>
      </c>
      <c r="B3" s="10" t="s">
        <v>217</v>
      </c>
      <c r="C3" s="12" t="s">
        <v>218</v>
      </c>
      <c r="D3" s="10" t="s">
        <v>215</v>
      </c>
      <c r="E3" s="10" t="s">
        <v>219</v>
      </c>
      <c r="F3" s="10">
        <v>3.8</v>
      </c>
      <c r="G3" s="10" t="s">
        <v>16</v>
      </c>
    </row>
    <row r="4" spans="1:7" ht="26.25" x14ac:dyDescent="0.45">
      <c r="A4" s="10" t="s">
        <v>196</v>
      </c>
      <c r="B4" s="10" t="s">
        <v>213</v>
      </c>
      <c r="C4" s="9" t="s">
        <v>214</v>
      </c>
      <c r="D4" s="10" t="s">
        <v>215</v>
      </c>
      <c r="E4" s="10" t="s">
        <v>220</v>
      </c>
      <c r="F4" s="10">
        <v>3.9</v>
      </c>
      <c r="G4" s="10" t="s">
        <v>16</v>
      </c>
    </row>
    <row r="5" spans="1:7" ht="26.25" x14ac:dyDescent="0.45">
      <c r="A5" s="10" t="s">
        <v>196</v>
      </c>
      <c r="B5" s="10" t="s">
        <v>217</v>
      </c>
      <c r="C5" s="12" t="s">
        <v>218</v>
      </c>
      <c r="D5" s="10" t="s">
        <v>215</v>
      </c>
      <c r="E5" s="10" t="s">
        <v>221</v>
      </c>
      <c r="F5" s="10">
        <v>3.8</v>
      </c>
      <c r="G5" s="10" t="s">
        <v>16</v>
      </c>
    </row>
    <row r="6" spans="1:7" x14ac:dyDescent="0.45">
      <c r="A6" s="10" t="s">
        <v>196</v>
      </c>
      <c r="B6" s="10" t="s">
        <v>222</v>
      </c>
      <c r="C6" s="13" t="s">
        <v>223</v>
      </c>
      <c r="D6" s="10" t="s">
        <v>215</v>
      </c>
      <c r="E6" s="10" t="s">
        <v>224</v>
      </c>
      <c r="F6" s="10">
        <v>3.8</v>
      </c>
      <c r="G6" s="10" t="s">
        <v>16</v>
      </c>
    </row>
    <row r="7" spans="1:7" ht="26.25" x14ac:dyDescent="0.45">
      <c r="A7" s="10" t="s">
        <v>199</v>
      </c>
      <c r="B7" s="10" t="s">
        <v>213</v>
      </c>
      <c r="C7" s="9" t="s">
        <v>214</v>
      </c>
      <c r="D7" s="10" t="s">
        <v>215</v>
      </c>
      <c r="E7" s="10" t="s">
        <v>225</v>
      </c>
      <c r="F7" s="10">
        <v>3.4</v>
      </c>
      <c r="G7" s="10" t="s">
        <v>16</v>
      </c>
    </row>
    <row r="8" spans="1:7" ht="26.25" x14ac:dyDescent="0.45">
      <c r="A8" s="10" t="s">
        <v>199</v>
      </c>
      <c r="B8" s="10" t="s">
        <v>217</v>
      </c>
      <c r="C8" s="12" t="s">
        <v>218</v>
      </c>
      <c r="D8" s="10" t="s">
        <v>215</v>
      </c>
      <c r="E8" s="10" t="s">
        <v>226</v>
      </c>
      <c r="F8" s="10">
        <v>3.8</v>
      </c>
      <c r="G8" s="10" t="s">
        <v>16</v>
      </c>
    </row>
    <row r="9" spans="1:7" ht="26.25" x14ac:dyDescent="0.45">
      <c r="A9" s="10" t="s">
        <v>199</v>
      </c>
      <c r="B9" s="10" t="s">
        <v>222</v>
      </c>
      <c r="C9" s="14" t="s">
        <v>227</v>
      </c>
      <c r="D9" s="10" t="s">
        <v>228</v>
      </c>
      <c r="E9" s="10" t="s">
        <v>229</v>
      </c>
      <c r="F9" s="10">
        <v>3.4</v>
      </c>
      <c r="G9" s="10" t="s">
        <v>16</v>
      </c>
    </row>
    <row r="10" spans="1:7" ht="26.25" x14ac:dyDescent="0.45">
      <c r="A10" s="10" t="s">
        <v>201</v>
      </c>
      <c r="B10" s="10" t="s">
        <v>213</v>
      </c>
      <c r="C10" s="9" t="s">
        <v>214</v>
      </c>
      <c r="D10" s="10" t="s">
        <v>215</v>
      </c>
      <c r="E10" s="10" t="s">
        <v>230</v>
      </c>
      <c r="F10" s="10">
        <v>3.6</v>
      </c>
      <c r="G10" s="10" t="s">
        <v>16</v>
      </c>
    </row>
    <row r="11" spans="1:7" x14ac:dyDescent="0.45">
      <c r="A11" s="10" t="s">
        <v>201</v>
      </c>
      <c r="B11" s="10" t="s">
        <v>217</v>
      </c>
      <c r="C11" s="12" t="s">
        <v>218</v>
      </c>
      <c r="D11" s="10" t="s">
        <v>215</v>
      </c>
      <c r="E11" s="10" t="s">
        <v>231</v>
      </c>
      <c r="F11" s="10">
        <v>3.4</v>
      </c>
      <c r="G11" s="10" t="s">
        <v>16</v>
      </c>
    </row>
    <row r="12" spans="1:7" x14ac:dyDescent="0.45">
      <c r="A12" s="10" t="s">
        <v>203</v>
      </c>
      <c r="B12" s="10" t="s">
        <v>213</v>
      </c>
      <c r="C12" s="9" t="s">
        <v>214</v>
      </c>
      <c r="D12" s="10" t="s">
        <v>215</v>
      </c>
      <c r="E12" s="10" t="s">
        <v>232</v>
      </c>
      <c r="F12" s="10" t="s">
        <v>233</v>
      </c>
      <c r="G12" s="10" t="s">
        <v>23</v>
      </c>
    </row>
    <row r="13" spans="1:7" x14ac:dyDescent="0.45">
      <c r="A13" s="10" t="s">
        <v>203</v>
      </c>
      <c r="B13" s="10" t="s">
        <v>217</v>
      </c>
      <c r="C13" s="12" t="s">
        <v>218</v>
      </c>
      <c r="D13" s="10" t="s">
        <v>215</v>
      </c>
      <c r="E13" s="10" t="s">
        <v>232</v>
      </c>
      <c r="F13" s="10" t="s">
        <v>233</v>
      </c>
      <c r="G13" s="10" t="s">
        <v>23</v>
      </c>
    </row>
    <row r="14" spans="1:7" x14ac:dyDescent="0.45">
      <c r="A14" s="10" t="s">
        <v>203</v>
      </c>
      <c r="B14" s="10" t="s">
        <v>222</v>
      </c>
      <c r="C14" s="13" t="s">
        <v>223</v>
      </c>
      <c r="D14" s="10" t="s">
        <v>215</v>
      </c>
      <c r="E14" s="10" t="s">
        <v>232</v>
      </c>
      <c r="F14" s="10" t="s">
        <v>233</v>
      </c>
      <c r="G14" s="10" t="s">
        <v>23</v>
      </c>
    </row>
    <row r="16" spans="1:7" x14ac:dyDescent="0.45">
      <c r="A16" s="5" t="s">
        <v>234</v>
      </c>
    </row>
    <row r="17" spans="1:1" x14ac:dyDescent="0.45">
      <c r="A17" s="15" t="s">
        <v>235</v>
      </c>
    </row>
    <row r="18" spans="1:1" x14ac:dyDescent="0.45">
      <c r="A18" s="16" t="s">
        <v>236</v>
      </c>
    </row>
    <row r="19" spans="1:1" x14ac:dyDescent="0.45">
      <c r="A19" s="17" t="s">
        <v>237</v>
      </c>
    </row>
    <row r="20" spans="1:1" x14ac:dyDescent="0.45">
      <c r="A20" s="18" t="s">
        <v>238</v>
      </c>
    </row>
    <row r="22" spans="1:1" ht="186.75" x14ac:dyDescent="0.45">
      <c r="A22" s="11" t="s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/>
  </sheetViews>
  <sheetFormatPr defaultRowHeight="14.25" x14ac:dyDescent="0.45"/>
  <cols>
    <col min="1" max="2" width="10" customWidth="1"/>
    <col min="3" max="3" width="22" customWidth="1"/>
    <col min="4" max="4" width="12" customWidth="1"/>
    <col min="5" max="5" width="14" customWidth="1"/>
    <col min="6" max="6" width="22" customWidth="1"/>
    <col min="7" max="8" width="14" customWidth="1"/>
    <col min="9" max="9" width="12" customWidth="1"/>
  </cols>
  <sheetData>
    <row r="1" spans="1:9" ht="26.65" x14ac:dyDescent="0.45">
      <c r="A1" s="1" t="s">
        <v>181</v>
      </c>
      <c r="B1" s="1" t="s">
        <v>0</v>
      </c>
      <c r="C1" s="1" t="s">
        <v>240</v>
      </c>
      <c r="D1" s="1" t="s">
        <v>4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208</v>
      </c>
    </row>
    <row r="2" spans="1:9" x14ac:dyDescent="0.45">
      <c r="A2" s="19" t="s">
        <v>192</v>
      </c>
      <c r="B2" s="19" t="s">
        <v>10</v>
      </c>
      <c r="C2" s="19" t="s">
        <v>11</v>
      </c>
      <c r="D2" s="19" t="s">
        <v>14</v>
      </c>
      <c r="E2" s="19" t="s">
        <v>245</v>
      </c>
      <c r="F2" s="19" t="s">
        <v>246</v>
      </c>
      <c r="G2" s="19" t="s">
        <v>247</v>
      </c>
      <c r="H2" s="19" t="s">
        <v>213</v>
      </c>
      <c r="I2" s="20" t="s">
        <v>214</v>
      </c>
    </row>
    <row r="3" spans="1:9" x14ac:dyDescent="0.45">
      <c r="A3" s="21" t="s">
        <v>192</v>
      </c>
      <c r="B3" s="21" t="s">
        <v>19</v>
      </c>
      <c r="C3" s="21" t="s">
        <v>20</v>
      </c>
      <c r="D3" s="21" t="s">
        <v>14</v>
      </c>
      <c r="E3" s="21" t="s">
        <v>245</v>
      </c>
      <c r="F3" s="21" t="s">
        <v>248</v>
      </c>
      <c r="G3" s="21" t="s">
        <v>247</v>
      </c>
      <c r="H3" s="21" t="s">
        <v>217</v>
      </c>
      <c r="I3" s="22" t="s">
        <v>218</v>
      </c>
    </row>
    <row r="4" spans="1:9" x14ac:dyDescent="0.45">
      <c r="A4" s="19" t="s">
        <v>192</v>
      </c>
      <c r="B4" s="19" t="s">
        <v>25</v>
      </c>
      <c r="C4" s="19" t="s">
        <v>26</v>
      </c>
      <c r="D4" s="19" t="s">
        <v>14</v>
      </c>
      <c r="E4" s="19" t="s">
        <v>245</v>
      </c>
      <c r="F4" s="19" t="s">
        <v>249</v>
      </c>
      <c r="G4" s="19" t="s">
        <v>247</v>
      </c>
      <c r="H4" s="19" t="s">
        <v>213</v>
      </c>
      <c r="I4" s="20" t="s">
        <v>214</v>
      </c>
    </row>
    <row r="5" spans="1:9" x14ac:dyDescent="0.45">
      <c r="A5" s="21" t="s">
        <v>192</v>
      </c>
      <c r="B5" s="21" t="s">
        <v>30</v>
      </c>
      <c r="C5" s="21" t="s">
        <v>31</v>
      </c>
      <c r="D5" s="21" t="s">
        <v>14</v>
      </c>
      <c r="E5" s="21" t="s">
        <v>245</v>
      </c>
      <c r="F5" s="21" t="s">
        <v>250</v>
      </c>
      <c r="G5" s="21" t="s">
        <v>247</v>
      </c>
      <c r="H5" s="21" t="s">
        <v>217</v>
      </c>
      <c r="I5" s="22" t="s">
        <v>218</v>
      </c>
    </row>
    <row r="6" spans="1:9" x14ac:dyDescent="0.45">
      <c r="A6" s="19" t="s">
        <v>192</v>
      </c>
      <c r="B6" s="19" t="s">
        <v>46</v>
      </c>
      <c r="C6" s="19" t="s">
        <v>47</v>
      </c>
      <c r="D6" s="19" t="s">
        <v>14</v>
      </c>
      <c r="E6" s="19" t="s">
        <v>245</v>
      </c>
      <c r="F6" s="19" t="s">
        <v>251</v>
      </c>
      <c r="G6" s="19" t="s">
        <v>247</v>
      </c>
      <c r="H6" s="19" t="s">
        <v>213</v>
      </c>
      <c r="I6" s="20" t="s">
        <v>214</v>
      </c>
    </row>
    <row r="7" spans="1:9" x14ac:dyDescent="0.45">
      <c r="A7" s="21" t="s">
        <v>192</v>
      </c>
      <c r="B7" s="21" t="s">
        <v>54</v>
      </c>
      <c r="C7" s="21" t="s">
        <v>55</v>
      </c>
      <c r="D7" s="21" t="s">
        <v>14</v>
      </c>
      <c r="E7" s="21" t="s">
        <v>245</v>
      </c>
      <c r="F7" s="21" t="s">
        <v>252</v>
      </c>
      <c r="G7" s="21" t="s">
        <v>247</v>
      </c>
      <c r="H7" s="21" t="s">
        <v>217</v>
      </c>
      <c r="I7" s="22" t="s">
        <v>218</v>
      </c>
    </row>
    <row r="8" spans="1:9" x14ac:dyDescent="0.45">
      <c r="A8" s="19" t="s">
        <v>192</v>
      </c>
      <c r="B8" s="19" t="s">
        <v>62</v>
      </c>
      <c r="C8" s="19" t="s">
        <v>63</v>
      </c>
      <c r="D8" s="19" t="s">
        <v>14</v>
      </c>
      <c r="E8" s="19" t="s">
        <v>245</v>
      </c>
      <c r="F8" s="19" t="s">
        <v>253</v>
      </c>
      <c r="G8" s="19" t="s">
        <v>247</v>
      </c>
      <c r="H8" s="19" t="s">
        <v>213</v>
      </c>
      <c r="I8" s="20" t="s">
        <v>214</v>
      </c>
    </row>
    <row r="9" spans="1:9" x14ac:dyDescent="0.45">
      <c r="A9" s="21" t="s">
        <v>192</v>
      </c>
      <c r="B9" s="21" t="s">
        <v>78</v>
      </c>
      <c r="C9" s="21" t="s">
        <v>79</v>
      </c>
      <c r="D9" s="21" t="s">
        <v>14</v>
      </c>
      <c r="E9" s="21" t="s">
        <v>245</v>
      </c>
      <c r="F9" s="21" t="s">
        <v>254</v>
      </c>
      <c r="G9" s="21" t="s">
        <v>247</v>
      </c>
      <c r="H9" s="21" t="s">
        <v>217</v>
      </c>
      <c r="I9" s="22" t="s">
        <v>218</v>
      </c>
    </row>
    <row r="10" spans="1:9" x14ac:dyDescent="0.45">
      <c r="A10" s="19" t="s">
        <v>192</v>
      </c>
      <c r="B10" s="19" t="s">
        <v>86</v>
      </c>
      <c r="C10" s="19" t="s">
        <v>87</v>
      </c>
      <c r="D10" s="19" t="s">
        <v>14</v>
      </c>
      <c r="E10" s="19" t="s">
        <v>245</v>
      </c>
      <c r="F10" s="19" t="s">
        <v>255</v>
      </c>
      <c r="G10" s="19" t="s">
        <v>247</v>
      </c>
      <c r="H10" s="19" t="s">
        <v>213</v>
      </c>
      <c r="I10" s="20" t="s">
        <v>214</v>
      </c>
    </row>
    <row r="11" spans="1:9" x14ac:dyDescent="0.45">
      <c r="A11" s="21" t="s">
        <v>192</v>
      </c>
      <c r="B11" s="21" t="s">
        <v>90</v>
      </c>
      <c r="C11" s="21" t="s">
        <v>91</v>
      </c>
      <c r="D11" s="21" t="s">
        <v>14</v>
      </c>
      <c r="E11" s="21" t="s">
        <v>245</v>
      </c>
      <c r="F11" s="21" t="s">
        <v>256</v>
      </c>
      <c r="G11" s="21" t="s">
        <v>247</v>
      </c>
      <c r="H11" s="21" t="s">
        <v>217</v>
      </c>
      <c r="I11" s="22" t="s">
        <v>218</v>
      </c>
    </row>
    <row r="12" spans="1:9" x14ac:dyDescent="0.45">
      <c r="A12" s="23" t="s">
        <v>192</v>
      </c>
      <c r="B12" s="23" t="s">
        <v>136</v>
      </c>
      <c r="C12" s="23" t="s">
        <v>137</v>
      </c>
      <c r="D12" s="23" t="s">
        <v>140</v>
      </c>
      <c r="E12" s="23" t="s">
        <v>257</v>
      </c>
      <c r="F12" s="23" t="s">
        <v>258</v>
      </c>
      <c r="G12" s="23" t="s">
        <v>257</v>
      </c>
      <c r="H12" s="23"/>
      <c r="I12" s="23"/>
    </row>
    <row r="13" spans="1:9" x14ac:dyDescent="0.45">
      <c r="A13" s="21" t="s">
        <v>196</v>
      </c>
      <c r="B13" s="21" t="s">
        <v>10</v>
      </c>
      <c r="C13" s="21" t="s">
        <v>11</v>
      </c>
      <c r="D13" s="21" t="s">
        <v>14</v>
      </c>
      <c r="E13" s="21" t="s">
        <v>245</v>
      </c>
      <c r="F13" s="21" t="s">
        <v>259</v>
      </c>
      <c r="G13" s="21" t="s">
        <v>247</v>
      </c>
      <c r="H13" s="21" t="s">
        <v>213</v>
      </c>
      <c r="I13" s="20" t="s">
        <v>214</v>
      </c>
    </row>
    <row r="14" spans="1:9" x14ac:dyDescent="0.45">
      <c r="A14" s="19" t="s">
        <v>196</v>
      </c>
      <c r="B14" s="19" t="s">
        <v>19</v>
      </c>
      <c r="C14" s="19" t="s">
        <v>20</v>
      </c>
      <c r="D14" s="19" t="s">
        <v>14</v>
      </c>
      <c r="E14" s="19" t="s">
        <v>245</v>
      </c>
      <c r="F14" s="19" t="s">
        <v>260</v>
      </c>
      <c r="G14" s="19" t="s">
        <v>247</v>
      </c>
      <c r="H14" s="19" t="s">
        <v>217</v>
      </c>
      <c r="I14" s="22" t="s">
        <v>218</v>
      </c>
    </row>
    <row r="15" spans="1:9" x14ac:dyDescent="0.45">
      <c r="A15" s="21" t="s">
        <v>196</v>
      </c>
      <c r="B15" s="21" t="s">
        <v>25</v>
      </c>
      <c r="C15" s="21" t="s">
        <v>26</v>
      </c>
      <c r="D15" s="21" t="s">
        <v>14</v>
      </c>
      <c r="E15" s="21" t="s">
        <v>245</v>
      </c>
      <c r="F15" s="21" t="s">
        <v>261</v>
      </c>
      <c r="G15" s="21" t="s">
        <v>247</v>
      </c>
      <c r="H15" s="21" t="s">
        <v>222</v>
      </c>
      <c r="I15" s="24" t="s">
        <v>223</v>
      </c>
    </row>
    <row r="16" spans="1:9" x14ac:dyDescent="0.45">
      <c r="A16" s="19" t="s">
        <v>196</v>
      </c>
      <c r="B16" s="19" t="s">
        <v>30</v>
      </c>
      <c r="C16" s="19" t="s">
        <v>31</v>
      </c>
      <c r="D16" s="19" t="s">
        <v>14</v>
      </c>
      <c r="E16" s="19" t="s">
        <v>245</v>
      </c>
      <c r="F16" s="19" t="s">
        <v>262</v>
      </c>
      <c r="G16" s="19" t="s">
        <v>247</v>
      </c>
      <c r="H16" s="19" t="s">
        <v>213</v>
      </c>
      <c r="I16" s="20" t="s">
        <v>214</v>
      </c>
    </row>
    <row r="17" spans="1:9" x14ac:dyDescent="0.45">
      <c r="A17" s="21" t="s">
        <v>196</v>
      </c>
      <c r="B17" s="21" t="s">
        <v>34</v>
      </c>
      <c r="C17" s="21" t="s">
        <v>35</v>
      </c>
      <c r="D17" s="21" t="s">
        <v>14</v>
      </c>
      <c r="E17" s="21" t="s">
        <v>245</v>
      </c>
      <c r="F17" s="21" t="s">
        <v>263</v>
      </c>
      <c r="G17" s="21" t="s">
        <v>247</v>
      </c>
      <c r="H17" s="21" t="s">
        <v>217</v>
      </c>
      <c r="I17" s="22" t="s">
        <v>218</v>
      </c>
    </row>
    <row r="18" spans="1:9" x14ac:dyDescent="0.45">
      <c r="A18" s="19" t="s">
        <v>196</v>
      </c>
      <c r="B18" s="19" t="s">
        <v>42</v>
      </c>
      <c r="C18" s="19" t="s">
        <v>43</v>
      </c>
      <c r="D18" s="19" t="s">
        <v>14</v>
      </c>
      <c r="E18" s="19" t="s">
        <v>245</v>
      </c>
      <c r="F18" s="19" t="s">
        <v>264</v>
      </c>
      <c r="G18" s="19" t="s">
        <v>247</v>
      </c>
      <c r="H18" s="19" t="s">
        <v>222</v>
      </c>
      <c r="I18" s="24" t="s">
        <v>223</v>
      </c>
    </row>
    <row r="19" spans="1:9" x14ac:dyDescent="0.45">
      <c r="A19" s="21" t="s">
        <v>196</v>
      </c>
      <c r="B19" s="21" t="s">
        <v>46</v>
      </c>
      <c r="C19" s="21" t="s">
        <v>47</v>
      </c>
      <c r="D19" s="21" t="s">
        <v>14</v>
      </c>
      <c r="E19" s="21" t="s">
        <v>245</v>
      </c>
      <c r="F19" s="21" t="s">
        <v>265</v>
      </c>
      <c r="G19" s="21" t="s">
        <v>247</v>
      </c>
      <c r="H19" s="21" t="s">
        <v>213</v>
      </c>
      <c r="I19" s="20" t="s">
        <v>214</v>
      </c>
    </row>
    <row r="20" spans="1:9" x14ac:dyDescent="0.45">
      <c r="A20" s="19" t="s">
        <v>196</v>
      </c>
      <c r="B20" s="19" t="s">
        <v>58</v>
      </c>
      <c r="C20" s="19" t="s">
        <v>59</v>
      </c>
      <c r="D20" s="19" t="s">
        <v>14</v>
      </c>
      <c r="E20" s="19" t="s">
        <v>245</v>
      </c>
      <c r="F20" s="19" t="s">
        <v>266</v>
      </c>
      <c r="G20" s="19" t="s">
        <v>247</v>
      </c>
      <c r="H20" s="19" t="s">
        <v>217</v>
      </c>
      <c r="I20" s="22" t="s">
        <v>218</v>
      </c>
    </row>
    <row r="21" spans="1:9" x14ac:dyDescent="0.45">
      <c r="A21" s="21" t="s">
        <v>196</v>
      </c>
      <c r="B21" s="21" t="s">
        <v>66</v>
      </c>
      <c r="C21" s="21" t="s">
        <v>67</v>
      </c>
      <c r="D21" s="21" t="s">
        <v>14</v>
      </c>
      <c r="E21" s="21" t="s">
        <v>245</v>
      </c>
      <c r="F21" s="21" t="s">
        <v>267</v>
      </c>
      <c r="G21" s="21" t="s">
        <v>247</v>
      </c>
      <c r="H21" s="21" t="s">
        <v>222</v>
      </c>
      <c r="I21" s="24" t="s">
        <v>223</v>
      </c>
    </row>
    <row r="22" spans="1:9" x14ac:dyDescent="0.45">
      <c r="A22" s="19" t="s">
        <v>196</v>
      </c>
      <c r="B22" s="19" t="s">
        <v>78</v>
      </c>
      <c r="C22" s="19" t="s">
        <v>79</v>
      </c>
      <c r="D22" s="19" t="s">
        <v>14</v>
      </c>
      <c r="E22" s="19" t="s">
        <v>245</v>
      </c>
      <c r="F22" s="19" t="s">
        <v>268</v>
      </c>
      <c r="G22" s="19" t="s">
        <v>247</v>
      </c>
      <c r="H22" s="19" t="s">
        <v>213</v>
      </c>
      <c r="I22" s="20" t="s">
        <v>214</v>
      </c>
    </row>
    <row r="23" spans="1:9" x14ac:dyDescent="0.45">
      <c r="A23" s="21" t="s">
        <v>196</v>
      </c>
      <c r="B23" s="21" t="s">
        <v>82</v>
      </c>
      <c r="C23" s="21" t="s">
        <v>83</v>
      </c>
      <c r="D23" s="21" t="s">
        <v>14</v>
      </c>
      <c r="E23" s="21" t="s">
        <v>245</v>
      </c>
      <c r="F23" s="21" t="s">
        <v>269</v>
      </c>
      <c r="G23" s="21" t="s">
        <v>247</v>
      </c>
      <c r="H23" s="21" t="s">
        <v>217</v>
      </c>
      <c r="I23" s="22" t="s">
        <v>218</v>
      </c>
    </row>
    <row r="24" spans="1:9" x14ac:dyDescent="0.45">
      <c r="A24" s="19" t="s">
        <v>196</v>
      </c>
      <c r="B24" s="19" t="s">
        <v>86</v>
      </c>
      <c r="C24" s="19" t="s">
        <v>87</v>
      </c>
      <c r="D24" s="19" t="s">
        <v>14</v>
      </c>
      <c r="E24" s="19" t="s">
        <v>245</v>
      </c>
      <c r="F24" s="19" t="s">
        <v>270</v>
      </c>
      <c r="G24" s="19" t="s">
        <v>247</v>
      </c>
      <c r="H24" s="19" t="s">
        <v>222</v>
      </c>
      <c r="I24" s="24" t="s">
        <v>223</v>
      </c>
    </row>
    <row r="25" spans="1:9" x14ac:dyDescent="0.45">
      <c r="A25" s="21" t="s">
        <v>196</v>
      </c>
      <c r="B25" s="21" t="s">
        <v>120</v>
      </c>
      <c r="C25" s="21" t="s">
        <v>121</v>
      </c>
      <c r="D25" s="21" t="s">
        <v>14</v>
      </c>
      <c r="E25" s="21" t="s">
        <v>245</v>
      </c>
      <c r="F25" s="21" t="s">
        <v>271</v>
      </c>
      <c r="G25" s="21" t="s">
        <v>247</v>
      </c>
      <c r="H25" s="21" t="s">
        <v>213</v>
      </c>
      <c r="I25" s="20" t="s">
        <v>214</v>
      </c>
    </row>
    <row r="26" spans="1:9" x14ac:dyDescent="0.45">
      <c r="A26" s="19" t="s">
        <v>196</v>
      </c>
      <c r="B26" s="19" t="s">
        <v>128</v>
      </c>
      <c r="C26" s="19" t="s">
        <v>129</v>
      </c>
      <c r="D26" s="19" t="s">
        <v>14</v>
      </c>
      <c r="E26" s="19" t="s">
        <v>245</v>
      </c>
      <c r="F26" s="19" t="s">
        <v>272</v>
      </c>
      <c r="G26" s="19" t="s">
        <v>247</v>
      </c>
      <c r="H26" s="19" t="s">
        <v>217</v>
      </c>
      <c r="I26" s="22" t="s">
        <v>218</v>
      </c>
    </row>
    <row r="27" spans="1:9" x14ac:dyDescent="0.45">
      <c r="A27" s="23" t="s">
        <v>196</v>
      </c>
      <c r="B27" s="23" t="s">
        <v>142</v>
      </c>
      <c r="C27" s="23" t="s">
        <v>143</v>
      </c>
      <c r="D27" s="23" t="s">
        <v>140</v>
      </c>
      <c r="E27" s="23" t="s">
        <v>245</v>
      </c>
      <c r="F27" s="23" t="s">
        <v>273</v>
      </c>
      <c r="G27" s="23" t="s">
        <v>247</v>
      </c>
      <c r="H27" s="23" t="s">
        <v>222</v>
      </c>
      <c r="I27" s="24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workbookViewId="0"/>
  </sheetViews>
  <sheetFormatPr defaultRowHeight="14.25" x14ac:dyDescent="0.45"/>
  <cols>
    <col min="1" max="2" width="10" customWidth="1"/>
    <col min="3" max="3" width="22" customWidth="1"/>
    <col min="4" max="4" width="12" customWidth="1"/>
    <col min="5" max="7" width="14" customWidth="1"/>
    <col min="8" max="9" width="18" customWidth="1"/>
    <col min="10" max="11" width="14" customWidth="1"/>
    <col min="12" max="12" width="20" customWidth="1"/>
    <col min="13" max="13" width="30" customWidth="1"/>
  </cols>
  <sheetData>
    <row r="1" spans="1:13" ht="35" customHeight="1" x14ac:dyDescent="0.45">
      <c r="A1" s="1" t="s">
        <v>181</v>
      </c>
      <c r="B1" s="1" t="s">
        <v>0</v>
      </c>
      <c r="C1" s="1" t="s">
        <v>240</v>
      </c>
      <c r="D1" s="1" t="s">
        <v>4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9</v>
      </c>
    </row>
    <row r="2" spans="1:13" x14ac:dyDescent="0.45">
      <c r="A2" s="2" t="s">
        <v>192</v>
      </c>
      <c r="B2" s="2" t="s">
        <v>10</v>
      </c>
      <c r="C2" s="2" t="s">
        <v>11</v>
      </c>
      <c r="D2" s="2" t="s">
        <v>14</v>
      </c>
      <c r="E2" s="2">
        <v>19.8</v>
      </c>
      <c r="F2" s="2">
        <v>0</v>
      </c>
      <c r="G2" s="2">
        <f t="shared" ref="G2:G16" si="0">F2-E2</f>
        <v>-19.8</v>
      </c>
      <c r="H2" s="2" t="s">
        <v>282</v>
      </c>
      <c r="I2" s="2" t="s">
        <v>233</v>
      </c>
      <c r="J2" s="2" t="s">
        <v>233</v>
      </c>
      <c r="K2" s="25" t="s">
        <v>283</v>
      </c>
      <c r="L2" s="2" t="s">
        <v>284</v>
      </c>
      <c r="M2" s="2" t="s">
        <v>285</v>
      </c>
    </row>
    <row r="3" spans="1:13" x14ac:dyDescent="0.45">
      <c r="A3" s="3" t="s">
        <v>192</v>
      </c>
      <c r="B3" s="3" t="s">
        <v>19</v>
      </c>
      <c r="C3" s="3" t="s">
        <v>20</v>
      </c>
      <c r="D3" s="3" t="s">
        <v>14</v>
      </c>
      <c r="E3" s="3">
        <v>19.8</v>
      </c>
      <c r="F3" s="3">
        <v>19.8</v>
      </c>
      <c r="G3" s="3">
        <f t="shared" si="0"/>
        <v>0</v>
      </c>
      <c r="H3" s="3" t="s">
        <v>286</v>
      </c>
      <c r="I3" s="3" t="s">
        <v>287</v>
      </c>
      <c r="J3" s="3" t="s">
        <v>193</v>
      </c>
      <c r="K3" s="3" t="s">
        <v>23</v>
      </c>
      <c r="L3" s="3" t="s">
        <v>23</v>
      </c>
      <c r="M3" s="3"/>
    </row>
    <row r="4" spans="1:13" x14ac:dyDescent="0.45">
      <c r="A4" s="3" t="s">
        <v>192</v>
      </c>
      <c r="B4" s="3" t="s">
        <v>25</v>
      </c>
      <c r="C4" s="3" t="s">
        <v>26</v>
      </c>
      <c r="D4" s="3" t="s">
        <v>14</v>
      </c>
      <c r="E4" s="3">
        <v>19.8</v>
      </c>
      <c r="F4" s="3">
        <v>19.8</v>
      </c>
      <c r="G4" s="3">
        <f t="shared" si="0"/>
        <v>0</v>
      </c>
      <c r="H4" s="3" t="s">
        <v>286</v>
      </c>
      <c r="I4" s="3" t="s">
        <v>288</v>
      </c>
      <c r="J4" s="3" t="s">
        <v>193</v>
      </c>
      <c r="K4" s="3" t="s">
        <v>23</v>
      </c>
      <c r="L4" s="3" t="s">
        <v>23</v>
      </c>
      <c r="M4" s="3"/>
    </row>
    <row r="5" spans="1:13" x14ac:dyDescent="0.45">
      <c r="A5" s="4" t="s">
        <v>192</v>
      </c>
      <c r="B5" s="4" t="s">
        <v>30</v>
      </c>
      <c r="C5" s="4" t="s">
        <v>31</v>
      </c>
      <c r="D5" s="4" t="s">
        <v>14</v>
      </c>
      <c r="E5" s="4">
        <v>19.8</v>
      </c>
      <c r="F5" s="4">
        <v>0</v>
      </c>
      <c r="G5" s="4">
        <f t="shared" si="0"/>
        <v>-19.8</v>
      </c>
      <c r="H5" s="4" t="s">
        <v>289</v>
      </c>
      <c r="I5" s="4" t="s">
        <v>233</v>
      </c>
      <c r="J5" s="4" t="s">
        <v>233</v>
      </c>
      <c r="K5" s="4" t="s">
        <v>23</v>
      </c>
      <c r="L5" s="4" t="s">
        <v>16</v>
      </c>
      <c r="M5" s="4" t="s">
        <v>290</v>
      </c>
    </row>
    <row r="6" spans="1:13" x14ac:dyDescent="0.45">
      <c r="A6" s="26" t="s">
        <v>192</v>
      </c>
      <c r="B6" s="26" t="s">
        <v>46</v>
      </c>
      <c r="C6" s="26" t="s">
        <v>47</v>
      </c>
      <c r="D6" s="26" t="s">
        <v>14</v>
      </c>
      <c r="E6" s="26">
        <v>19.8</v>
      </c>
      <c r="F6" s="26">
        <v>10</v>
      </c>
      <c r="G6" s="26">
        <f t="shared" si="0"/>
        <v>-9.8000000000000007</v>
      </c>
      <c r="H6" s="26" t="s">
        <v>291</v>
      </c>
      <c r="I6" s="26" t="s">
        <v>288</v>
      </c>
      <c r="J6" s="26" t="s">
        <v>193</v>
      </c>
      <c r="K6" s="26" t="s">
        <v>23</v>
      </c>
      <c r="L6" s="26" t="s">
        <v>16</v>
      </c>
      <c r="M6" s="26" t="s">
        <v>292</v>
      </c>
    </row>
    <row r="7" spans="1:13" x14ac:dyDescent="0.45">
      <c r="A7" s="3" t="s">
        <v>192</v>
      </c>
      <c r="B7" s="3" t="s">
        <v>54</v>
      </c>
      <c r="C7" s="3" t="s">
        <v>55</v>
      </c>
      <c r="D7" s="3" t="s">
        <v>14</v>
      </c>
      <c r="E7" s="3">
        <v>19.8</v>
      </c>
      <c r="F7" s="3">
        <v>19.8</v>
      </c>
      <c r="G7" s="3">
        <f t="shared" si="0"/>
        <v>0</v>
      </c>
      <c r="H7" s="3" t="s">
        <v>286</v>
      </c>
      <c r="I7" s="3" t="s">
        <v>287</v>
      </c>
      <c r="J7" s="3" t="s">
        <v>193</v>
      </c>
      <c r="K7" s="3" t="s">
        <v>23</v>
      </c>
      <c r="L7" s="3" t="s">
        <v>23</v>
      </c>
      <c r="M7" s="3"/>
    </row>
    <row r="8" spans="1:13" x14ac:dyDescent="0.45">
      <c r="A8" s="3" t="s">
        <v>192</v>
      </c>
      <c r="B8" s="3" t="s">
        <v>62</v>
      </c>
      <c r="C8" s="3" t="s">
        <v>63</v>
      </c>
      <c r="D8" s="3" t="s">
        <v>14</v>
      </c>
      <c r="E8" s="3">
        <v>19.8</v>
      </c>
      <c r="F8" s="3">
        <v>19.8</v>
      </c>
      <c r="G8" s="3">
        <f t="shared" si="0"/>
        <v>0</v>
      </c>
      <c r="H8" s="3" t="s">
        <v>286</v>
      </c>
      <c r="I8" s="3" t="s">
        <v>288</v>
      </c>
      <c r="J8" s="3" t="s">
        <v>193</v>
      </c>
      <c r="K8" s="3" t="s">
        <v>23</v>
      </c>
      <c r="L8" s="3" t="s">
        <v>23</v>
      </c>
      <c r="M8" s="3"/>
    </row>
    <row r="9" spans="1:13" x14ac:dyDescent="0.45">
      <c r="A9" s="3" t="s">
        <v>192</v>
      </c>
      <c r="B9" s="3" t="s">
        <v>78</v>
      </c>
      <c r="C9" s="3" t="s">
        <v>79</v>
      </c>
      <c r="D9" s="3" t="s">
        <v>14</v>
      </c>
      <c r="E9" s="3">
        <v>19.8</v>
      </c>
      <c r="F9" s="3">
        <v>19.8</v>
      </c>
      <c r="G9" s="3">
        <f t="shared" si="0"/>
        <v>0</v>
      </c>
      <c r="H9" s="3" t="s">
        <v>286</v>
      </c>
      <c r="I9" s="3" t="s">
        <v>287</v>
      </c>
      <c r="J9" s="3" t="s">
        <v>193</v>
      </c>
      <c r="K9" s="3" t="s">
        <v>23</v>
      </c>
      <c r="L9" s="3" t="s">
        <v>23</v>
      </c>
      <c r="M9" s="3"/>
    </row>
    <row r="10" spans="1:13" x14ac:dyDescent="0.45">
      <c r="A10" s="3" t="s">
        <v>192</v>
      </c>
      <c r="B10" s="3" t="s">
        <v>86</v>
      </c>
      <c r="C10" s="3" t="s">
        <v>87</v>
      </c>
      <c r="D10" s="3" t="s">
        <v>14</v>
      </c>
      <c r="E10" s="3">
        <v>19.8</v>
      </c>
      <c r="F10" s="3">
        <v>19.8</v>
      </c>
      <c r="G10" s="3">
        <f t="shared" si="0"/>
        <v>0</v>
      </c>
      <c r="H10" s="3" t="s">
        <v>286</v>
      </c>
      <c r="I10" s="3" t="s">
        <v>288</v>
      </c>
      <c r="J10" s="3" t="s">
        <v>193</v>
      </c>
      <c r="K10" s="3" t="s">
        <v>23</v>
      </c>
      <c r="L10" s="3" t="s">
        <v>23</v>
      </c>
      <c r="M10" s="3"/>
    </row>
    <row r="11" spans="1:13" x14ac:dyDescent="0.45">
      <c r="A11" s="3" t="s">
        <v>192</v>
      </c>
      <c r="B11" s="3" t="s">
        <v>90</v>
      </c>
      <c r="C11" s="3" t="s">
        <v>91</v>
      </c>
      <c r="D11" s="3" t="s">
        <v>14</v>
      </c>
      <c r="E11" s="3">
        <v>19.8</v>
      </c>
      <c r="F11" s="3">
        <v>19.8</v>
      </c>
      <c r="G11" s="3">
        <f t="shared" si="0"/>
        <v>0</v>
      </c>
      <c r="H11" s="3" t="s">
        <v>286</v>
      </c>
      <c r="I11" s="3" t="s">
        <v>287</v>
      </c>
      <c r="J11" s="3" t="s">
        <v>193</v>
      </c>
      <c r="K11" s="3" t="s">
        <v>23</v>
      </c>
      <c r="L11" s="3" t="s">
        <v>23</v>
      </c>
      <c r="M11" s="3"/>
    </row>
    <row r="12" spans="1:13" x14ac:dyDescent="0.45">
      <c r="A12" s="2" t="s">
        <v>196</v>
      </c>
      <c r="B12" s="2" t="s">
        <v>19</v>
      </c>
      <c r="C12" s="2" t="s">
        <v>20</v>
      </c>
      <c r="D12" s="2" t="s">
        <v>14</v>
      </c>
      <c r="E12" s="2">
        <v>13.2</v>
      </c>
      <c r="F12" s="2">
        <v>0</v>
      </c>
      <c r="G12" s="2">
        <f t="shared" si="0"/>
        <v>-13.2</v>
      </c>
      <c r="H12" s="2" t="s">
        <v>282</v>
      </c>
      <c r="I12" s="2" t="s">
        <v>233</v>
      </c>
      <c r="J12" s="2" t="s">
        <v>233</v>
      </c>
      <c r="K12" s="25" t="s">
        <v>283</v>
      </c>
      <c r="L12" s="2" t="s">
        <v>284</v>
      </c>
      <c r="M12" s="2" t="s">
        <v>285</v>
      </c>
    </row>
    <row r="13" spans="1:13" x14ac:dyDescent="0.45">
      <c r="A13" s="3" t="s">
        <v>196</v>
      </c>
      <c r="B13" s="3" t="s">
        <v>10</v>
      </c>
      <c r="C13" s="3" t="s">
        <v>11</v>
      </c>
      <c r="D13" s="3" t="s">
        <v>14</v>
      </c>
      <c r="E13" s="3">
        <v>13.2</v>
      </c>
      <c r="F13" s="3">
        <v>13.2</v>
      </c>
      <c r="G13" s="3">
        <f t="shared" si="0"/>
        <v>0</v>
      </c>
      <c r="H13" s="3" t="s">
        <v>286</v>
      </c>
      <c r="I13" s="3" t="s">
        <v>287</v>
      </c>
      <c r="J13" s="3" t="s">
        <v>197</v>
      </c>
      <c r="K13" s="3" t="s">
        <v>23</v>
      </c>
      <c r="L13" s="3" t="s">
        <v>23</v>
      </c>
      <c r="M13" s="3"/>
    </row>
    <row r="14" spans="1:13" x14ac:dyDescent="0.45">
      <c r="A14" s="4" t="s">
        <v>196</v>
      </c>
      <c r="B14" s="4" t="s">
        <v>30</v>
      </c>
      <c r="C14" s="4" t="s">
        <v>31</v>
      </c>
      <c r="D14" s="4" t="s">
        <v>14</v>
      </c>
      <c r="E14" s="4">
        <v>13.2</v>
      </c>
      <c r="F14" s="4">
        <v>0</v>
      </c>
      <c r="G14" s="4">
        <f t="shared" si="0"/>
        <v>-13.2</v>
      </c>
      <c r="H14" s="4" t="s">
        <v>289</v>
      </c>
      <c r="I14" s="4" t="s">
        <v>233</v>
      </c>
      <c r="J14" s="4" t="s">
        <v>233</v>
      </c>
      <c r="K14" s="4" t="s">
        <v>23</v>
      </c>
      <c r="L14" s="4" t="s">
        <v>16</v>
      </c>
      <c r="M14" s="4" t="s">
        <v>290</v>
      </c>
    </row>
    <row r="15" spans="1:13" x14ac:dyDescent="0.45">
      <c r="A15" s="3" t="s">
        <v>196</v>
      </c>
      <c r="B15" s="3" t="s">
        <v>142</v>
      </c>
      <c r="C15" s="3" t="s">
        <v>143</v>
      </c>
      <c r="D15" s="3" t="s">
        <v>140</v>
      </c>
      <c r="E15" s="3">
        <v>13.2</v>
      </c>
      <c r="F15" s="3">
        <v>13.2</v>
      </c>
      <c r="G15" s="3">
        <f t="shared" si="0"/>
        <v>0</v>
      </c>
      <c r="H15" s="3" t="s">
        <v>286</v>
      </c>
      <c r="I15" s="3" t="s">
        <v>287</v>
      </c>
      <c r="J15" s="3" t="s">
        <v>197</v>
      </c>
      <c r="K15" s="3" t="s">
        <v>23</v>
      </c>
      <c r="L15" s="3" t="s">
        <v>23</v>
      </c>
      <c r="M15" s="3" t="s">
        <v>293</v>
      </c>
    </row>
    <row r="16" spans="1:13" ht="26.25" x14ac:dyDescent="0.45">
      <c r="A16" s="4" t="s">
        <v>196</v>
      </c>
      <c r="B16" s="4" t="s">
        <v>147</v>
      </c>
      <c r="C16" s="4" t="s">
        <v>148</v>
      </c>
      <c r="D16" s="4" t="s">
        <v>140</v>
      </c>
      <c r="E16" s="4">
        <v>13.2</v>
      </c>
      <c r="F16" s="4">
        <v>0</v>
      </c>
      <c r="G16" s="4">
        <f t="shared" si="0"/>
        <v>-13.2</v>
      </c>
      <c r="H16" s="4" t="s">
        <v>289</v>
      </c>
      <c r="I16" s="4" t="s">
        <v>233</v>
      </c>
      <c r="J16" s="4" t="s">
        <v>233</v>
      </c>
      <c r="K16" s="4" t="s">
        <v>23</v>
      </c>
      <c r="L16" s="4" t="s">
        <v>16</v>
      </c>
      <c r="M16" s="4" t="s">
        <v>294</v>
      </c>
    </row>
    <row r="18" spans="1:8" x14ac:dyDescent="0.45">
      <c r="A18" s="5" t="s">
        <v>295</v>
      </c>
    </row>
    <row r="19" spans="1:8" x14ac:dyDescent="0.45">
      <c r="A19" s="27" t="s">
        <v>296</v>
      </c>
      <c r="B19" s="27" t="s">
        <v>297</v>
      </c>
      <c r="C19" s="27" t="s">
        <v>298</v>
      </c>
      <c r="D19" s="27" t="s">
        <v>276</v>
      </c>
      <c r="E19" s="27" t="s">
        <v>299</v>
      </c>
      <c r="F19" s="27" t="s">
        <v>300</v>
      </c>
    </row>
    <row r="20" spans="1:8" x14ac:dyDescent="0.45">
      <c r="A20" s="15" t="s">
        <v>192</v>
      </c>
      <c r="B20" s="15">
        <f>9*19.8</f>
        <v>178.20000000000002</v>
      </c>
      <c r="C20" s="15">
        <f>9*19.8-9.8</f>
        <v>168.4</v>
      </c>
      <c r="D20" s="15">
        <f>9.8</f>
        <v>9.8000000000000007</v>
      </c>
      <c r="E20" s="15" t="s">
        <v>301</v>
      </c>
      <c r="F20" s="15" t="s">
        <v>302</v>
      </c>
    </row>
    <row r="21" spans="1:8" x14ac:dyDescent="0.45">
      <c r="A21" s="15" t="s">
        <v>196</v>
      </c>
      <c r="B21" s="15">
        <f>4*13.2</f>
        <v>52.8</v>
      </c>
      <c r="C21" s="15">
        <f>3*13.2</f>
        <v>39.599999999999994</v>
      </c>
      <c r="D21" s="15">
        <f>13.2</f>
        <v>13.2</v>
      </c>
      <c r="E21" s="15" t="s">
        <v>303</v>
      </c>
      <c r="F21" s="15" t="s">
        <v>304</v>
      </c>
    </row>
    <row r="24" spans="1:8" x14ac:dyDescent="0.45">
      <c r="A24" s="5" t="s">
        <v>305</v>
      </c>
    </row>
    <row r="25" spans="1:8" x14ac:dyDescent="0.45">
      <c r="A25" s="28" t="s">
        <v>15</v>
      </c>
      <c r="B25" s="39" t="s">
        <v>306</v>
      </c>
      <c r="C25" s="40"/>
      <c r="D25" s="40"/>
      <c r="E25" s="40"/>
      <c r="F25" s="40"/>
      <c r="G25" s="40"/>
      <c r="H25" s="41"/>
    </row>
    <row r="26" spans="1:8" x14ac:dyDescent="0.45">
      <c r="A26" s="29" t="s">
        <v>307</v>
      </c>
      <c r="B26" s="39" t="s">
        <v>308</v>
      </c>
      <c r="C26" s="40"/>
      <c r="D26" s="40"/>
      <c r="E26" s="40"/>
      <c r="F26" s="40"/>
      <c r="G26" s="40"/>
      <c r="H26" s="41"/>
    </row>
    <row r="27" spans="1:8" x14ac:dyDescent="0.45">
      <c r="A27" s="30" t="s">
        <v>140</v>
      </c>
      <c r="B27" s="39" t="s">
        <v>309</v>
      </c>
      <c r="C27" s="40"/>
      <c r="D27" s="40"/>
      <c r="E27" s="40"/>
      <c r="F27" s="40"/>
      <c r="G27" s="40"/>
      <c r="H27" s="41"/>
    </row>
    <row r="28" spans="1:8" x14ac:dyDescent="0.45">
      <c r="A28" s="31" t="s">
        <v>190</v>
      </c>
      <c r="B28" s="39" t="s">
        <v>310</v>
      </c>
      <c r="C28" s="40"/>
      <c r="D28" s="40"/>
      <c r="E28" s="40"/>
      <c r="F28" s="40"/>
      <c r="G28" s="40"/>
      <c r="H28" s="41"/>
    </row>
  </sheetData>
  <mergeCells count="4">
    <mergeCell ref="B28:H28"/>
    <mergeCell ref="B27:H27"/>
    <mergeCell ref="B26:H26"/>
    <mergeCell ref="B25:H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/>
  </sheetViews>
  <sheetFormatPr defaultRowHeight="14.25" x14ac:dyDescent="0.45"/>
  <cols>
    <col min="1" max="2" width="12" customWidth="1"/>
    <col min="3" max="3" width="20" customWidth="1"/>
    <col min="4" max="4" width="55" customWidth="1"/>
    <col min="5" max="5" width="16" customWidth="1"/>
    <col min="6" max="6" width="22" customWidth="1"/>
    <col min="7" max="7" width="18" customWidth="1"/>
    <col min="8" max="8" width="35" customWidth="1"/>
    <col min="9" max="9" width="22" customWidth="1"/>
  </cols>
  <sheetData>
    <row r="1" spans="1:6" ht="35" customHeight="1" x14ac:dyDescent="0.45">
      <c r="A1" s="5" t="s">
        <v>311</v>
      </c>
    </row>
    <row r="3" spans="1:6" ht="35" customHeight="1" x14ac:dyDescent="0.45">
      <c r="A3" s="1" t="s">
        <v>312</v>
      </c>
      <c r="B3" s="1" t="s">
        <v>313</v>
      </c>
      <c r="C3" s="1" t="s">
        <v>314</v>
      </c>
      <c r="D3" s="1" t="s">
        <v>315</v>
      </c>
      <c r="E3" s="1" t="s">
        <v>316</v>
      </c>
      <c r="F3" s="1" t="s">
        <v>317</v>
      </c>
    </row>
    <row r="4" spans="1:6" ht="60" customHeight="1" x14ac:dyDescent="0.45">
      <c r="A4" s="9" t="s">
        <v>318</v>
      </c>
      <c r="B4" s="9" t="s">
        <v>319</v>
      </c>
      <c r="C4" s="9" t="s">
        <v>320</v>
      </c>
      <c r="D4" s="32" t="s">
        <v>321</v>
      </c>
      <c r="E4" s="9" t="s">
        <v>16</v>
      </c>
      <c r="F4" s="9" t="s">
        <v>322</v>
      </c>
    </row>
    <row r="5" spans="1:6" ht="60" customHeight="1" x14ac:dyDescent="0.45">
      <c r="A5" s="10" t="s">
        <v>323</v>
      </c>
      <c r="B5" s="10" t="s">
        <v>324</v>
      </c>
      <c r="C5" s="10" t="s">
        <v>325</v>
      </c>
      <c r="D5" s="33" t="s">
        <v>326</v>
      </c>
      <c r="E5" s="10" t="s">
        <v>16</v>
      </c>
      <c r="F5" s="10" t="s">
        <v>322</v>
      </c>
    </row>
    <row r="6" spans="1:6" ht="60" customHeight="1" x14ac:dyDescent="0.45">
      <c r="A6" s="9" t="s">
        <v>327</v>
      </c>
      <c r="B6" s="9" t="s">
        <v>324</v>
      </c>
      <c r="C6" s="9" t="s">
        <v>328</v>
      </c>
      <c r="D6" s="32" t="s">
        <v>329</v>
      </c>
      <c r="E6" s="9" t="s">
        <v>16</v>
      </c>
      <c r="F6" s="9" t="s">
        <v>330</v>
      </c>
    </row>
    <row r="9" spans="1:6" x14ac:dyDescent="0.45">
      <c r="A9" s="5" t="s">
        <v>331</v>
      </c>
    </row>
    <row r="10" spans="1:6" ht="26.65" x14ac:dyDescent="0.45">
      <c r="A10" s="1" t="s">
        <v>332</v>
      </c>
      <c r="B10" s="1" t="s">
        <v>333</v>
      </c>
      <c r="C10" s="1" t="s">
        <v>334</v>
      </c>
    </row>
    <row r="11" spans="1:6" ht="26.25" x14ac:dyDescent="0.45">
      <c r="A11" s="10" t="s">
        <v>335</v>
      </c>
      <c r="B11" s="10" t="s">
        <v>336</v>
      </c>
      <c r="C11" s="10" t="s">
        <v>337</v>
      </c>
    </row>
    <row r="12" spans="1:6" ht="39" x14ac:dyDescent="0.45">
      <c r="A12" s="9" t="s">
        <v>338</v>
      </c>
      <c r="B12" s="9" t="s">
        <v>339</v>
      </c>
      <c r="C12" s="9" t="s">
        <v>340</v>
      </c>
    </row>
    <row r="13" spans="1:6" ht="39" x14ac:dyDescent="0.45">
      <c r="A13" s="10" t="s">
        <v>341</v>
      </c>
      <c r="B13" s="10" t="s">
        <v>342</v>
      </c>
      <c r="C13" s="10" t="s">
        <v>343</v>
      </c>
    </row>
    <row r="14" spans="1:6" ht="39" x14ac:dyDescent="0.45">
      <c r="A14" s="9" t="s">
        <v>344</v>
      </c>
      <c r="B14" s="9" t="s">
        <v>345</v>
      </c>
      <c r="C14" s="9" t="s">
        <v>346</v>
      </c>
    </row>
    <row r="15" spans="1:6" ht="51.75" x14ac:dyDescent="0.45">
      <c r="A15" s="10" t="s">
        <v>347</v>
      </c>
      <c r="B15" s="10" t="s">
        <v>348</v>
      </c>
      <c r="C15" s="10" t="s">
        <v>349</v>
      </c>
    </row>
    <row r="18" spans="1:9" x14ac:dyDescent="0.45">
      <c r="A18" s="5" t="s">
        <v>350</v>
      </c>
    </row>
    <row r="19" spans="1:9" ht="26.65" x14ac:dyDescent="0.45">
      <c r="A19" s="1" t="s">
        <v>351</v>
      </c>
      <c r="B19" s="1" t="s">
        <v>181</v>
      </c>
      <c r="C19" s="1" t="s">
        <v>352</v>
      </c>
      <c r="D19" s="1" t="s">
        <v>353</v>
      </c>
      <c r="E19" s="1" t="s">
        <v>240</v>
      </c>
      <c r="F19" s="1" t="s">
        <v>354</v>
      </c>
      <c r="G19" s="1" t="s">
        <v>317</v>
      </c>
      <c r="H19" s="1" t="s">
        <v>355</v>
      </c>
      <c r="I19" s="1" t="s">
        <v>356</v>
      </c>
    </row>
    <row r="20" spans="1:9" x14ac:dyDescent="0.45">
      <c r="A20" s="3" t="s">
        <v>357</v>
      </c>
      <c r="B20" s="3" t="s">
        <v>192</v>
      </c>
      <c r="C20" s="3" t="s">
        <v>323</v>
      </c>
      <c r="D20" s="3" t="s">
        <v>30</v>
      </c>
      <c r="E20" s="3" t="s">
        <v>31</v>
      </c>
      <c r="F20" s="3" t="s">
        <v>358</v>
      </c>
      <c r="G20" s="3" t="s">
        <v>359</v>
      </c>
      <c r="H20" s="3" t="s">
        <v>360</v>
      </c>
      <c r="I20" s="3" t="s">
        <v>23</v>
      </c>
    </row>
    <row r="21" spans="1:9" x14ac:dyDescent="0.45">
      <c r="A21" s="3" t="s">
        <v>361</v>
      </c>
      <c r="B21" s="3" t="s">
        <v>192</v>
      </c>
      <c r="C21" s="3" t="s">
        <v>323</v>
      </c>
      <c r="D21" s="3" t="s">
        <v>46</v>
      </c>
      <c r="E21" s="3" t="s">
        <v>47</v>
      </c>
      <c r="F21" s="3" t="s">
        <v>358</v>
      </c>
      <c r="G21" s="3" t="s">
        <v>359</v>
      </c>
      <c r="H21" s="3" t="s">
        <v>360</v>
      </c>
      <c r="I21" s="3" t="s">
        <v>23</v>
      </c>
    </row>
    <row r="22" spans="1:9" x14ac:dyDescent="0.45">
      <c r="A22" s="2" t="s">
        <v>362</v>
      </c>
      <c r="B22" s="2" t="s">
        <v>192</v>
      </c>
      <c r="C22" s="2" t="s">
        <v>323</v>
      </c>
      <c r="D22" s="2" t="s">
        <v>10</v>
      </c>
      <c r="E22" s="2" t="s">
        <v>11</v>
      </c>
      <c r="F22" s="2" t="s">
        <v>358</v>
      </c>
      <c r="G22" s="2" t="s">
        <v>233</v>
      </c>
      <c r="H22" s="2" t="s">
        <v>363</v>
      </c>
      <c r="I22" s="2" t="s">
        <v>283</v>
      </c>
    </row>
    <row r="23" spans="1:9" x14ac:dyDescent="0.45">
      <c r="A23" s="3" t="s">
        <v>364</v>
      </c>
      <c r="B23" s="3" t="s">
        <v>196</v>
      </c>
      <c r="C23" s="3" t="s">
        <v>323</v>
      </c>
      <c r="D23" s="3" t="s">
        <v>30</v>
      </c>
      <c r="E23" s="3" t="s">
        <v>31</v>
      </c>
      <c r="F23" s="3" t="s">
        <v>365</v>
      </c>
      <c r="G23" s="3" t="s">
        <v>359</v>
      </c>
      <c r="H23" s="3" t="s">
        <v>360</v>
      </c>
      <c r="I23" s="3" t="s">
        <v>23</v>
      </c>
    </row>
    <row r="24" spans="1:9" x14ac:dyDescent="0.45">
      <c r="A24" s="3" t="s">
        <v>366</v>
      </c>
      <c r="B24" s="3" t="s">
        <v>196</v>
      </c>
      <c r="C24" s="3" t="s">
        <v>323</v>
      </c>
      <c r="D24" s="3" t="s">
        <v>147</v>
      </c>
      <c r="E24" s="3" t="s">
        <v>148</v>
      </c>
      <c r="F24" s="3" t="s">
        <v>365</v>
      </c>
      <c r="G24" s="3" t="s">
        <v>359</v>
      </c>
      <c r="H24" s="3" t="s">
        <v>360</v>
      </c>
      <c r="I24" s="3" t="s">
        <v>23</v>
      </c>
    </row>
    <row r="25" spans="1:9" x14ac:dyDescent="0.45">
      <c r="A25" s="2" t="s">
        <v>367</v>
      </c>
      <c r="B25" s="2" t="s">
        <v>196</v>
      </c>
      <c r="C25" s="2" t="s">
        <v>323</v>
      </c>
      <c r="D25" s="2" t="s">
        <v>19</v>
      </c>
      <c r="E25" s="2" t="s">
        <v>20</v>
      </c>
      <c r="F25" s="2" t="s">
        <v>365</v>
      </c>
      <c r="G25" s="2" t="s">
        <v>233</v>
      </c>
      <c r="H25" s="2" t="s">
        <v>363</v>
      </c>
      <c r="I25" s="2" t="s">
        <v>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/>
  </sheetViews>
  <sheetFormatPr defaultRowHeight="14.25" x14ac:dyDescent="0.45"/>
  <cols>
    <col min="1" max="1" width="10" customWidth="1"/>
    <col min="2" max="2" width="14" customWidth="1"/>
    <col min="3" max="3" width="10" customWidth="1"/>
    <col min="4" max="4" width="16" customWidth="1"/>
    <col min="5" max="6" width="14" customWidth="1"/>
    <col min="7" max="7" width="16" customWidth="1"/>
    <col min="8" max="8" width="12" customWidth="1"/>
    <col min="9" max="9" width="16" customWidth="1"/>
    <col min="10" max="10" width="18" customWidth="1"/>
    <col min="11" max="11" width="14" customWidth="1"/>
    <col min="12" max="12" width="30" customWidth="1"/>
  </cols>
  <sheetData>
    <row r="1" spans="1:12" ht="26.65" x14ac:dyDescent="0.45">
      <c r="A1" s="1" t="s">
        <v>181</v>
      </c>
      <c r="B1" s="1" t="s">
        <v>185</v>
      </c>
      <c r="C1" s="1" t="s">
        <v>186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9</v>
      </c>
    </row>
    <row r="2" spans="1:12" x14ac:dyDescent="0.45">
      <c r="A2" s="9" t="s">
        <v>192</v>
      </c>
      <c r="B2" s="9">
        <v>180</v>
      </c>
      <c r="C2" s="9">
        <v>10</v>
      </c>
      <c r="D2" s="9">
        <f>B2*C2/100</f>
        <v>18</v>
      </c>
      <c r="E2" s="9">
        <v>1</v>
      </c>
      <c r="F2" s="9">
        <v>0</v>
      </c>
      <c r="G2" s="9">
        <v>0</v>
      </c>
      <c r="H2" s="9">
        <v>0</v>
      </c>
      <c r="I2" s="9">
        <f>F2+G2+H2</f>
        <v>0</v>
      </c>
      <c r="J2" s="9">
        <f>D2-I2</f>
        <v>18</v>
      </c>
      <c r="K2" s="9">
        <f>J2</f>
        <v>18</v>
      </c>
      <c r="L2" s="9" t="s">
        <v>376</v>
      </c>
    </row>
    <row r="3" spans="1:12" x14ac:dyDescent="0.45">
      <c r="A3" s="10" t="s">
        <v>196</v>
      </c>
      <c r="B3" s="10">
        <v>180</v>
      </c>
      <c r="C3" s="10">
        <v>10</v>
      </c>
      <c r="D3" s="10">
        <f>B3*C3/100</f>
        <v>18</v>
      </c>
      <c r="E3" s="10">
        <v>0</v>
      </c>
      <c r="F3" s="10">
        <v>0</v>
      </c>
      <c r="G3" s="10">
        <v>15</v>
      </c>
      <c r="H3" s="10">
        <v>0</v>
      </c>
      <c r="I3" s="10">
        <f>F3+G3+H3</f>
        <v>15</v>
      </c>
      <c r="J3" s="10">
        <f>D3-I3</f>
        <v>3</v>
      </c>
      <c r="K3" s="10">
        <f>J3</f>
        <v>3</v>
      </c>
      <c r="L3" s="10" t="s">
        <v>377</v>
      </c>
    </row>
    <row r="4" spans="1:12" x14ac:dyDescent="0.45">
      <c r="A4" s="9" t="s">
        <v>199</v>
      </c>
      <c r="B4" s="9">
        <v>180</v>
      </c>
      <c r="C4" s="9">
        <v>15</v>
      </c>
      <c r="D4" s="9">
        <f>B4*C4/100</f>
        <v>27</v>
      </c>
      <c r="E4" s="9">
        <v>2</v>
      </c>
      <c r="F4" s="9">
        <v>0</v>
      </c>
      <c r="G4" s="9">
        <v>0</v>
      </c>
      <c r="H4" s="9">
        <v>20</v>
      </c>
      <c r="I4" s="9">
        <f>F4+G4+H4</f>
        <v>20</v>
      </c>
      <c r="J4" s="9">
        <f>D4-I4</f>
        <v>7</v>
      </c>
      <c r="K4" s="9">
        <f>J4</f>
        <v>7</v>
      </c>
      <c r="L4" s="9" t="s">
        <v>378</v>
      </c>
    </row>
    <row r="5" spans="1:12" x14ac:dyDescent="0.45">
      <c r="A5" s="10" t="s">
        <v>201</v>
      </c>
      <c r="B5" s="10">
        <v>180</v>
      </c>
      <c r="C5" s="10">
        <v>10</v>
      </c>
      <c r="D5" s="10">
        <f>B5*C5/100</f>
        <v>18</v>
      </c>
      <c r="E5" s="10">
        <v>0</v>
      </c>
      <c r="F5" s="10">
        <v>0</v>
      </c>
      <c r="G5" s="10">
        <v>0</v>
      </c>
      <c r="H5" s="10">
        <v>0</v>
      </c>
      <c r="I5" s="10">
        <f>F5+G5+H5</f>
        <v>0</v>
      </c>
      <c r="J5" s="10">
        <f>D5-I5</f>
        <v>18</v>
      </c>
      <c r="K5" s="10">
        <f>J5</f>
        <v>18</v>
      </c>
      <c r="L5" s="10" t="s">
        <v>379</v>
      </c>
    </row>
    <row r="6" spans="1:12" x14ac:dyDescent="0.45">
      <c r="A6" s="9" t="s">
        <v>203</v>
      </c>
      <c r="B6" s="9">
        <v>180</v>
      </c>
      <c r="C6" s="9">
        <v>10</v>
      </c>
      <c r="D6" s="9">
        <f>B6*C6/100</f>
        <v>18</v>
      </c>
      <c r="E6" s="9">
        <v>0</v>
      </c>
      <c r="F6" s="9">
        <v>0</v>
      </c>
      <c r="G6" s="9">
        <v>0</v>
      </c>
      <c r="H6" s="9">
        <v>0</v>
      </c>
      <c r="I6" s="9">
        <f>F6+G6+H6</f>
        <v>0</v>
      </c>
      <c r="J6" s="9">
        <f>D6-I6</f>
        <v>18</v>
      </c>
      <c r="K6" s="9">
        <f>J6</f>
        <v>18</v>
      </c>
      <c r="L6" s="9" t="s">
        <v>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"/>
  <sheetViews>
    <sheetView workbookViewId="0"/>
  </sheetViews>
  <sheetFormatPr defaultRowHeight="14.25" x14ac:dyDescent="0.45"/>
  <cols>
    <col min="1" max="1" width="8" customWidth="1"/>
    <col min="2" max="2" width="14" customWidth="1"/>
    <col min="3" max="4" width="28" customWidth="1"/>
    <col min="5" max="5" width="42" customWidth="1"/>
    <col min="6" max="6" width="38" customWidth="1"/>
    <col min="7" max="8" width="10" customWidth="1"/>
    <col min="9" max="9" width="18" customWidth="1"/>
  </cols>
  <sheetData>
    <row r="1" spans="1:9" ht="35" customHeight="1" x14ac:dyDescent="0.45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8</v>
      </c>
      <c r="I1" s="1" t="s">
        <v>387</v>
      </c>
    </row>
    <row r="2" spans="1:9" ht="55.05" customHeight="1" x14ac:dyDescent="0.45">
      <c r="A2" s="34" t="s">
        <v>388</v>
      </c>
      <c r="B2" s="34" t="s">
        <v>389</v>
      </c>
      <c r="C2" s="34" t="s">
        <v>390</v>
      </c>
      <c r="D2" s="35" t="s">
        <v>391</v>
      </c>
      <c r="E2" s="35" t="s">
        <v>392</v>
      </c>
      <c r="F2" s="35" t="s">
        <v>393</v>
      </c>
      <c r="G2" s="34" t="s">
        <v>394</v>
      </c>
      <c r="H2" s="34" t="s">
        <v>395</v>
      </c>
      <c r="I2" s="34" t="s">
        <v>396</v>
      </c>
    </row>
    <row r="3" spans="1:9" ht="55.05" customHeight="1" x14ac:dyDescent="0.45">
      <c r="A3" s="34" t="s">
        <v>397</v>
      </c>
      <c r="B3" s="34" t="s">
        <v>389</v>
      </c>
      <c r="C3" s="34" t="s">
        <v>398</v>
      </c>
      <c r="D3" s="35" t="s">
        <v>399</v>
      </c>
      <c r="E3" s="35" t="s">
        <v>400</v>
      </c>
      <c r="F3" s="35" t="s">
        <v>401</v>
      </c>
      <c r="G3" s="34" t="s">
        <v>394</v>
      </c>
      <c r="H3" s="34" t="s">
        <v>395</v>
      </c>
      <c r="I3" s="34" t="s">
        <v>402</v>
      </c>
    </row>
    <row r="4" spans="1:9" ht="55.05" customHeight="1" x14ac:dyDescent="0.45">
      <c r="A4" s="34" t="s">
        <v>403</v>
      </c>
      <c r="B4" s="34" t="s">
        <v>389</v>
      </c>
      <c r="C4" s="34" t="s">
        <v>404</v>
      </c>
      <c r="D4" s="35" t="s">
        <v>405</v>
      </c>
      <c r="E4" s="35" t="s">
        <v>406</v>
      </c>
      <c r="F4" s="35" t="s">
        <v>407</v>
      </c>
      <c r="G4" s="34" t="s">
        <v>394</v>
      </c>
      <c r="H4" s="34" t="s">
        <v>395</v>
      </c>
      <c r="I4" s="34" t="s">
        <v>396</v>
      </c>
    </row>
    <row r="5" spans="1:9" ht="55.05" customHeight="1" x14ac:dyDescent="0.45">
      <c r="A5" s="34" t="s">
        <v>408</v>
      </c>
      <c r="B5" s="34" t="s">
        <v>389</v>
      </c>
      <c r="C5" s="34" t="s">
        <v>409</v>
      </c>
      <c r="D5" s="35" t="s">
        <v>410</v>
      </c>
      <c r="E5" s="35" t="s">
        <v>411</v>
      </c>
      <c r="F5" s="35" t="s">
        <v>412</v>
      </c>
      <c r="G5" s="34" t="s">
        <v>394</v>
      </c>
      <c r="H5" s="34" t="s">
        <v>395</v>
      </c>
      <c r="I5" s="34" t="s">
        <v>413</v>
      </c>
    </row>
    <row r="6" spans="1:9" ht="55.05" customHeight="1" x14ac:dyDescent="0.45">
      <c r="A6" s="26" t="s">
        <v>414</v>
      </c>
      <c r="B6" s="26" t="s">
        <v>389</v>
      </c>
      <c r="C6" s="26" t="s">
        <v>415</v>
      </c>
      <c r="D6" s="36" t="s">
        <v>416</v>
      </c>
      <c r="E6" s="36" t="s">
        <v>417</v>
      </c>
      <c r="F6" s="36" t="s">
        <v>418</v>
      </c>
      <c r="G6" s="26" t="s">
        <v>419</v>
      </c>
      <c r="H6" s="26" t="s">
        <v>395</v>
      </c>
      <c r="I6" s="26" t="s">
        <v>420</v>
      </c>
    </row>
    <row r="7" spans="1:9" ht="55.05" customHeight="1" x14ac:dyDescent="0.45">
      <c r="A7" s="34" t="s">
        <v>421</v>
      </c>
      <c r="B7" s="34" t="s">
        <v>422</v>
      </c>
      <c r="C7" s="34" t="s">
        <v>423</v>
      </c>
      <c r="D7" s="35" t="s">
        <v>424</v>
      </c>
      <c r="E7" s="35" t="s">
        <v>425</v>
      </c>
      <c r="F7" s="35" t="s">
        <v>426</v>
      </c>
      <c r="G7" s="34" t="s">
        <v>394</v>
      </c>
      <c r="H7" s="34" t="s">
        <v>395</v>
      </c>
      <c r="I7" s="34" t="s">
        <v>427</v>
      </c>
    </row>
    <row r="8" spans="1:9" ht="55.05" customHeight="1" x14ac:dyDescent="0.45">
      <c r="A8" s="26" t="s">
        <v>428</v>
      </c>
      <c r="B8" s="26" t="s">
        <v>422</v>
      </c>
      <c r="C8" s="26" t="s">
        <v>429</v>
      </c>
      <c r="D8" s="36" t="s">
        <v>424</v>
      </c>
      <c r="E8" s="36" t="s">
        <v>430</v>
      </c>
      <c r="F8" s="36" t="s">
        <v>431</v>
      </c>
      <c r="G8" s="26" t="s">
        <v>419</v>
      </c>
      <c r="H8" s="26" t="s">
        <v>395</v>
      </c>
      <c r="I8" s="26" t="s">
        <v>432</v>
      </c>
    </row>
    <row r="9" spans="1:9" ht="55.05" customHeight="1" x14ac:dyDescent="0.45">
      <c r="A9" s="34" t="s">
        <v>433</v>
      </c>
      <c r="B9" s="34" t="s">
        <v>422</v>
      </c>
      <c r="C9" s="34" t="s">
        <v>434</v>
      </c>
      <c r="D9" s="35" t="s">
        <v>435</v>
      </c>
      <c r="E9" s="35" t="s">
        <v>436</v>
      </c>
      <c r="F9" s="35" t="s">
        <v>437</v>
      </c>
      <c r="G9" s="34" t="s">
        <v>394</v>
      </c>
      <c r="H9" s="34" t="s">
        <v>395</v>
      </c>
      <c r="I9" s="34" t="s">
        <v>438</v>
      </c>
    </row>
    <row r="10" spans="1:9" ht="55.05" customHeight="1" x14ac:dyDescent="0.45">
      <c r="A10" s="26" t="s">
        <v>439</v>
      </c>
      <c r="B10" s="26" t="s">
        <v>422</v>
      </c>
      <c r="C10" s="26" t="s">
        <v>440</v>
      </c>
      <c r="D10" s="36" t="s">
        <v>441</v>
      </c>
      <c r="E10" s="36" t="s">
        <v>442</v>
      </c>
      <c r="F10" s="36" t="s">
        <v>443</v>
      </c>
      <c r="G10" s="26" t="s">
        <v>419</v>
      </c>
      <c r="H10" s="26" t="s">
        <v>395</v>
      </c>
      <c r="I10" s="26" t="s">
        <v>444</v>
      </c>
    </row>
    <row r="11" spans="1:9" ht="55.05" customHeight="1" x14ac:dyDescent="0.45">
      <c r="A11" s="34" t="s">
        <v>445</v>
      </c>
      <c r="B11" s="34" t="s">
        <v>422</v>
      </c>
      <c r="C11" s="34" t="s">
        <v>446</v>
      </c>
      <c r="D11" s="35" t="s">
        <v>447</v>
      </c>
      <c r="E11" s="35" t="s">
        <v>448</v>
      </c>
      <c r="F11" s="35" t="s">
        <v>449</v>
      </c>
      <c r="G11" s="34" t="s">
        <v>394</v>
      </c>
      <c r="H11" s="34" t="s">
        <v>395</v>
      </c>
      <c r="I11" s="34" t="s">
        <v>450</v>
      </c>
    </row>
    <row r="12" spans="1:9" ht="55.05" customHeight="1" x14ac:dyDescent="0.45">
      <c r="A12" s="34" t="s">
        <v>451</v>
      </c>
      <c r="B12" s="34" t="s">
        <v>452</v>
      </c>
      <c r="C12" s="34" t="s">
        <v>453</v>
      </c>
      <c r="D12" s="35" t="s">
        <v>454</v>
      </c>
      <c r="E12" s="35" t="s">
        <v>455</v>
      </c>
      <c r="F12" s="35" t="s">
        <v>456</v>
      </c>
      <c r="G12" s="34" t="s">
        <v>394</v>
      </c>
      <c r="H12" s="34" t="s">
        <v>395</v>
      </c>
      <c r="I12" s="34" t="s">
        <v>457</v>
      </c>
    </row>
    <row r="13" spans="1:9" ht="55.05" customHeight="1" x14ac:dyDescent="0.45">
      <c r="A13" s="34" t="s">
        <v>458</v>
      </c>
      <c r="B13" s="34" t="s">
        <v>452</v>
      </c>
      <c r="C13" s="34" t="s">
        <v>459</v>
      </c>
      <c r="D13" s="35" t="s">
        <v>460</v>
      </c>
      <c r="E13" s="35" t="s">
        <v>461</v>
      </c>
      <c r="F13" s="35" t="s">
        <v>462</v>
      </c>
      <c r="G13" s="34" t="s">
        <v>394</v>
      </c>
      <c r="H13" s="34" t="s">
        <v>395</v>
      </c>
      <c r="I13" s="34" t="s">
        <v>463</v>
      </c>
    </row>
    <row r="14" spans="1:9" ht="55.05" customHeight="1" x14ac:dyDescent="0.45">
      <c r="A14" s="26" t="s">
        <v>464</v>
      </c>
      <c r="B14" s="26" t="s">
        <v>452</v>
      </c>
      <c r="C14" s="26" t="s">
        <v>465</v>
      </c>
      <c r="D14" s="36" t="s">
        <v>466</v>
      </c>
      <c r="E14" s="36" t="s">
        <v>467</v>
      </c>
      <c r="F14" s="36" t="s">
        <v>468</v>
      </c>
      <c r="G14" s="26" t="s">
        <v>419</v>
      </c>
      <c r="H14" s="26" t="s">
        <v>395</v>
      </c>
      <c r="I14" s="26" t="s">
        <v>469</v>
      </c>
    </row>
    <row r="15" spans="1:9" ht="55.05" customHeight="1" x14ac:dyDescent="0.45">
      <c r="A15" s="34" t="s">
        <v>470</v>
      </c>
      <c r="B15" s="34" t="s">
        <v>471</v>
      </c>
      <c r="C15" s="34" t="s">
        <v>472</v>
      </c>
      <c r="D15" s="35" t="s">
        <v>473</v>
      </c>
      <c r="E15" s="35" t="s">
        <v>474</v>
      </c>
      <c r="F15" s="35" t="s">
        <v>475</v>
      </c>
      <c r="G15" s="34" t="s">
        <v>394</v>
      </c>
      <c r="H15" s="34" t="s">
        <v>395</v>
      </c>
      <c r="I15" s="34" t="s">
        <v>476</v>
      </c>
    </row>
    <row r="16" spans="1:9" ht="55.05" customHeight="1" x14ac:dyDescent="0.45">
      <c r="A16" s="34" t="s">
        <v>477</v>
      </c>
      <c r="B16" s="34" t="s">
        <v>471</v>
      </c>
      <c r="C16" s="34" t="s">
        <v>478</v>
      </c>
      <c r="D16" s="35" t="s">
        <v>479</v>
      </c>
      <c r="E16" s="35" t="s">
        <v>474</v>
      </c>
      <c r="F16" s="35" t="s">
        <v>480</v>
      </c>
      <c r="G16" s="34" t="s">
        <v>394</v>
      </c>
      <c r="H16" s="34" t="s">
        <v>395</v>
      </c>
      <c r="I16" s="34" t="s">
        <v>481</v>
      </c>
    </row>
    <row r="17" spans="1:9" ht="55.05" customHeight="1" x14ac:dyDescent="0.45">
      <c r="A17" s="34" t="s">
        <v>482</v>
      </c>
      <c r="B17" s="34" t="s">
        <v>471</v>
      </c>
      <c r="C17" s="34" t="s">
        <v>483</v>
      </c>
      <c r="D17" s="35" t="s">
        <v>484</v>
      </c>
      <c r="E17" s="35" t="s">
        <v>485</v>
      </c>
      <c r="F17" s="35" t="s">
        <v>486</v>
      </c>
      <c r="G17" s="34" t="s">
        <v>394</v>
      </c>
      <c r="H17" s="34" t="s">
        <v>395</v>
      </c>
      <c r="I17" s="34" t="s">
        <v>487</v>
      </c>
    </row>
    <row r="18" spans="1:9" ht="55.05" customHeight="1" x14ac:dyDescent="0.45">
      <c r="A18" s="34" t="s">
        <v>488</v>
      </c>
      <c r="B18" s="34" t="s">
        <v>471</v>
      </c>
      <c r="C18" s="34" t="s">
        <v>489</v>
      </c>
      <c r="D18" s="35" t="s">
        <v>490</v>
      </c>
      <c r="E18" s="35" t="s">
        <v>491</v>
      </c>
      <c r="F18" s="35" t="s">
        <v>492</v>
      </c>
      <c r="G18" s="34" t="s">
        <v>394</v>
      </c>
      <c r="H18" s="34" t="s">
        <v>395</v>
      </c>
      <c r="I18" s="34" t="s">
        <v>493</v>
      </c>
    </row>
    <row r="19" spans="1:9" ht="55.05" customHeight="1" x14ac:dyDescent="0.45">
      <c r="A19" s="26" t="s">
        <v>494</v>
      </c>
      <c r="B19" s="26" t="s">
        <v>471</v>
      </c>
      <c r="C19" s="26" t="s">
        <v>495</v>
      </c>
      <c r="D19" s="36" t="s">
        <v>496</v>
      </c>
      <c r="E19" s="36" t="s">
        <v>474</v>
      </c>
      <c r="F19" s="36" t="s">
        <v>497</v>
      </c>
      <c r="G19" s="26" t="s">
        <v>419</v>
      </c>
      <c r="H19" s="26" t="s">
        <v>395</v>
      </c>
      <c r="I19" s="26" t="s">
        <v>498</v>
      </c>
    </row>
    <row r="20" spans="1:9" ht="55.05" customHeight="1" x14ac:dyDescent="0.45">
      <c r="A20" s="34" t="s">
        <v>499</v>
      </c>
      <c r="B20" s="34" t="s">
        <v>500</v>
      </c>
      <c r="C20" s="34" t="s">
        <v>501</v>
      </c>
      <c r="D20" s="35" t="s">
        <v>502</v>
      </c>
      <c r="E20" s="35" t="s">
        <v>503</v>
      </c>
      <c r="F20" s="35" t="s">
        <v>504</v>
      </c>
      <c r="G20" s="34" t="s">
        <v>394</v>
      </c>
      <c r="H20" s="34" t="s">
        <v>395</v>
      </c>
      <c r="I20" s="34" t="s">
        <v>505</v>
      </c>
    </row>
    <row r="21" spans="1:9" ht="55.05" customHeight="1" x14ac:dyDescent="0.45">
      <c r="A21" s="34" t="s">
        <v>506</v>
      </c>
      <c r="B21" s="34" t="s">
        <v>500</v>
      </c>
      <c r="C21" s="34" t="s">
        <v>507</v>
      </c>
      <c r="D21" s="35" t="s">
        <v>508</v>
      </c>
      <c r="E21" s="35" t="s">
        <v>503</v>
      </c>
      <c r="F21" s="35" t="s">
        <v>509</v>
      </c>
      <c r="G21" s="34" t="s">
        <v>394</v>
      </c>
      <c r="H21" s="34" t="s">
        <v>395</v>
      </c>
      <c r="I21" s="34" t="s">
        <v>505</v>
      </c>
    </row>
    <row r="22" spans="1:9" ht="55.05" customHeight="1" x14ac:dyDescent="0.45">
      <c r="A22" s="26" t="s">
        <v>510</v>
      </c>
      <c r="B22" s="26" t="s">
        <v>500</v>
      </c>
      <c r="C22" s="26" t="s">
        <v>511</v>
      </c>
      <c r="D22" s="36" t="s">
        <v>484</v>
      </c>
      <c r="E22" s="36" t="s">
        <v>512</v>
      </c>
      <c r="F22" s="36" t="s">
        <v>513</v>
      </c>
      <c r="G22" s="26" t="s">
        <v>419</v>
      </c>
      <c r="H22" s="26" t="s">
        <v>395</v>
      </c>
      <c r="I22" s="26" t="s">
        <v>514</v>
      </c>
    </row>
    <row r="23" spans="1:9" ht="55.05" customHeight="1" x14ac:dyDescent="0.45">
      <c r="A23" s="26" t="s">
        <v>515</v>
      </c>
      <c r="B23" s="26" t="s">
        <v>500</v>
      </c>
      <c r="C23" s="26" t="s">
        <v>516</v>
      </c>
      <c r="D23" s="36" t="s">
        <v>517</v>
      </c>
      <c r="E23" s="36" t="s">
        <v>518</v>
      </c>
      <c r="F23" s="36" t="s">
        <v>519</v>
      </c>
      <c r="G23" s="26" t="s">
        <v>419</v>
      </c>
      <c r="H23" s="26" t="s">
        <v>395</v>
      </c>
      <c r="I23" s="26" t="s">
        <v>514</v>
      </c>
    </row>
    <row r="24" spans="1:9" ht="55.05" customHeight="1" x14ac:dyDescent="0.45">
      <c r="A24" s="26" t="s">
        <v>520</v>
      </c>
      <c r="B24" s="26" t="s">
        <v>500</v>
      </c>
      <c r="C24" s="26" t="s">
        <v>521</v>
      </c>
      <c r="D24" s="36" t="s">
        <v>522</v>
      </c>
      <c r="E24" s="36" t="s">
        <v>523</v>
      </c>
      <c r="F24" s="36" t="s">
        <v>524</v>
      </c>
      <c r="G24" s="26" t="s">
        <v>419</v>
      </c>
      <c r="H24" s="26" t="s">
        <v>395</v>
      </c>
      <c r="I24" s="26" t="s">
        <v>505</v>
      </c>
    </row>
    <row r="25" spans="1:9" ht="55.05" customHeight="1" x14ac:dyDescent="0.45">
      <c r="A25" s="34" t="s">
        <v>525</v>
      </c>
      <c r="B25" s="34" t="s">
        <v>526</v>
      </c>
      <c r="C25" s="34" t="s">
        <v>527</v>
      </c>
      <c r="D25" s="35" t="s">
        <v>528</v>
      </c>
      <c r="E25" s="35" t="s">
        <v>529</v>
      </c>
      <c r="F25" s="35" t="s">
        <v>530</v>
      </c>
      <c r="G25" s="34" t="s">
        <v>394</v>
      </c>
      <c r="H25" s="34" t="s">
        <v>395</v>
      </c>
      <c r="I25" s="34" t="s">
        <v>531</v>
      </c>
    </row>
    <row r="26" spans="1:9" ht="55.05" customHeight="1" x14ac:dyDescent="0.45">
      <c r="A26" s="34" t="s">
        <v>532</v>
      </c>
      <c r="B26" s="34" t="s">
        <v>526</v>
      </c>
      <c r="C26" s="34" t="s">
        <v>533</v>
      </c>
      <c r="D26" s="35" t="s">
        <v>534</v>
      </c>
      <c r="E26" s="35" t="s">
        <v>529</v>
      </c>
      <c r="F26" s="35" t="s">
        <v>535</v>
      </c>
      <c r="G26" s="34" t="s">
        <v>394</v>
      </c>
      <c r="H26" s="34" t="s">
        <v>395</v>
      </c>
      <c r="I26" s="34" t="s">
        <v>531</v>
      </c>
    </row>
    <row r="27" spans="1:9" ht="55.05" customHeight="1" x14ac:dyDescent="0.45">
      <c r="A27" s="34" t="s">
        <v>536</v>
      </c>
      <c r="B27" s="34" t="s">
        <v>526</v>
      </c>
      <c r="C27" s="34" t="s">
        <v>537</v>
      </c>
      <c r="D27" s="35" t="s">
        <v>538</v>
      </c>
      <c r="E27" s="35" t="s">
        <v>539</v>
      </c>
      <c r="F27" s="35" t="s">
        <v>540</v>
      </c>
      <c r="G27" s="34" t="s">
        <v>394</v>
      </c>
      <c r="H27" s="34" t="s">
        <v>395</v>
      </c>
      <c r="I27" s="34" t="s">
        <v>541</v>
      </c>
    </row>
    <row r="28" spans="1:9" ht="55.05" customHeight="1" x14ac:dyDescent="0.45">
      <c r="A28" s="26" t="s">
        <v>542</v>
      </c>
      <c r="B28" s="26" t="s">
        <v>526</v>
      </c>
      <c r="C28" s="26" t="s">
        <v>543</v>
      </c>
      <c r="D28" s="36" t="s">
        <v>544</v>
      </c>
      <c r="E28" s="36" t="s">
        <v>545</v>
      </c>
      <c r="F28" s="36" t="s">
        <v>546</v>
      </c>
      <c r="G28" s="26" t="s">
        <v>419</v>
      </c>
      <c r="H28" s="26" t="s">
        <v>395</v>
      </c>
      <c r="I28" s="26" t="s">
        <v>547</v>
      </c>
    </row>
    <row r="29" spans="1:9" ht="55.05" customHeight="1" x14ac:dyDescent="0.45">
      <c r="A29" s="34" t="s">
        <v>548</v>
      </c>
      <c r="B29" s="34" t="s">
        <v>549</v>
      </c>
      <c r="C29" s="34" t="s">
        <v>550</v>
      </c>
      <c r="D29" s="35" t="s">
        <v>551</v>
      </c>
      <c r="E29" s="35" t="s">
        <v>552</v>
      </c>
      <c r="F29" s="35" t="s">
        <v>553</v>
      </c>
      <c r="G29" s="34" t="s">
        <v>394</v>
      </c>
      <c r="H29" s="34" t="s">
        <v>395</v>
      </c>
      <c r="I29" s="34" t="s">
        <v>554</v>
      </c>
    </row>
    <row r="30" spans="1:9" ht="55.05" customHeight="1" x14ac:dyDescent="0.45">
      <c r="A30" s="34" t="s">
        <v>555</v>
      </c>
      <c r="B30" s="34" t="s">
        <v>549</v>
      </c>
      <c r="C30" s="34" t="s">
        <v>556</v>
      </c>
      <c r="D30" s="35" t="s">
        <v>557</v>
      </c>
      <c r="E30" s="35" t="s">
        <v>558</v>
      </c>
      <c r="F30" s="35" t="s">
        <v>559</v>
      </c>
      <c r="G30" s="34" t="s">
        <v>394</v>
      </c>
      <c r="H30" s="34" t="s">
        <v>395</v>
      </c>
      <c r="I30" s="34" t="s">
        <v>560</v>
      </c>
    </row>
    <row r="31" spans="1:9" ht="55.05" customHeight="1" x14ac:dyDescent="0.45">
      <c r="A31" s="34" t="s">
        <v>561</v>
      </c>
      <c r="B31" s="34" t="s">
        <v>549</v>
      </c>
      <c r="C31" s="34" t="s">
        <v>562</v>
      </c>
      <c r="D31" s="35" t="s">
        <v>563</v>
      </c>
      <c r="E31" s="35" t="s">
        <v>564</v>
      </c>
      <c r="F31" s="35" t="s">
        <v>565</v>
      </c>
      <c r="G31" s="34" t="s">
        <v>394</v>
      </c>
      <c r="H31" s="34" t="s">
        <v>395</v>
      </c>
      <c r="I31" s="34" t="s">
        <v>560</v>
      </c>
    </row>
    <row r="32" spans="1:9" ht="55.05" customHeight="1" x14ac:dyDescent="0.45">
      <c r="A32" s="34" t="s">
        <v>566</v>
      </c>
      <c r="B32" s="34" t="s">
        <v>549</v>
      </c>
      <c r="C32" s="34" t="s">
        <v>567</v>
      </c>
      <c r="D32" s="35" t="s">
        <v>568</v>
      </c>
      <c r="E32" s="35" t="s">
        <v>569</v>
      </c>
      <c r="F32" s="35" t="s">
        <v>570</v>
      </c>
      <c r="G32" s="34" t="s">
        <v>394</v>
      </c>
      <c r="H32" s="34" t="s">
        <v>395</v>
      </c>
      <c r="I32" s="34" t="s">
        <v>571</v>
      </c>
    </row>
    <row r="33" spans="1:9" ht="55.05" customHeight="1" x14ac:dyDescent="0.45">
      <c r="A33" s="34" t="s">
        <v>572</v>
      </c>
      <c r="B33" s="34" t="s">
        <v>549</v>
      </c>
      <c r="C33" s="34" t="s">
        <v>573</v>
      </c>
      <c r="D33" s="35" t="s">
        <v>574</v>
      </c>
      <c r="E33" s="35" t="s">
        <v>564</v>
      </c>
      <c r="F33" s="35" t="s">
        <v>575</v>
      </c>
      <c r="G33" s="34" t="s">
        <v>394</v>
      </c>
      <c r="H33" s="34" t="s">
        <v>395</v>
      </c>
      <c r="I33" s="34" t="s">
        <v>571</v>
      </c>
    </row>
    <row r="34" spans="1:9" ht="55.05" customHeight="1" x14ac:dyDescent="0.45">
      <c r="A34" s="34" t="s">
        <v>576</v>
      </c>
      <c r="B34" s="34" t="s">
        <v>549</v>
      </c>
      <c r="C34" s="34" t="s">
        <v>577</v>
      </c>
      <c r="D34" s="35" t="s">
        <v>578</v>
      </c>
      <c r="E34" s="35" t="s">
        <v>579</v>
      </c>
      <c r="F34" s="35" t="s">
        <v>580</v>
      </c>
      <c r="G34" s="34" t="s">
        <v>394</v>
      </c>
      <c r="H34" s="34" t="s">
        <v>395</v>
      </c>
      <c r="I34" s="34" t="s">
        <v>554</v>
      </c>
    </row>
    <row r="35" spans="1:9" ht="55.05" customHeight="1" x14ac:dyDescent="0.45">
      <c r="A35" s="34" t="s">
        <v>581</v>
      </c>
      <c r="B35" s="34" t="s">
        <v>549</v>
      </c>
      <c r="C35" s="34" t="s">
        <v>582</v>
      </c>
      <c r="D35" s="35" t="s">
        <v>583</v>
      </c>
      <c r="E35" s="35" t="s">
        <v>584</v>
      </c>
      <c r="F35" s="35" t="s">
        <v>585</v>
      </c>
      <c r="G35" s="34" t="s">
        <v>394</v>
      </c>
      <c r="H35" s="34" t="s">
        <v>395</v>
      </c>
      <c r="I35" s="34" t="s">
        <v>560</v>
      </c>
    </row>
    <row r="36" spans="1:9" ht="55.05" customHeight="1" x14ac:dyDescent="0.45">
      <c r="A36" s="34" t="s">
        <v>586</v>
      </c>
      <c r="B36" s="34" t="s">
        <v>190</v>
      </c>
      <c r="C36" s="34" t="s">
        <v>587</v>
      </c>
      <c r="D36" s="35" t="s">
        <v>588</v>
      </c>
      <c r="E36" s="35" t="s">
        <v>529</v>
      </c>
      <c r="F36" s="35" t="s">
        <v>589</v>
      </c>
      <c r="G36" s="34" t="s">
        <v>394</v>
      </c>
      <c r="H36" s="34" t="s">
        <v>395</v>
      </c>
      <c r="I36" s="34" t="s">
        <v>590</v>
      </c>
    </row>
    <row r="37" spans="1:9" ht="55.05" customHeight="1" x14ac:dyDescent="0.45">
      <c r="A37" s="26" t="s">
        <v>591</v>
      </c>
      <c r="B37" s="26" t="s">
        <v>190</v>
      </c>
      <c r="C37" s="26" t="s">
        <v>592</v>
      </c>
      <c r="D37" s="36" t="s">
        <v>593</v>
      </c>
      <c r="E37" s="36" t="s">
        <v>594</v>
      </c>
      <c r="F37" s="36" t="s">
        <v>595</v>
      </c>
      <c r="G37" s="26" t="s">
        <v>419</v>
      </c>
      <c r="H37" s="26" t="s">
        <v>395</v>
      </c>
      <c r="I37" s="26" t="s">
        <v>590</v>
      </c>
    </row>
    <row r="38" spans="1:9" ht="55.05" customHeight="1" x14ac:dyDescent="0.45">
      <c r="A38" s="34" t="s">
        <v>596</v>
      </c>
      <c r="B38" s="34" t="s">
        <v>597</v>
      </c>
      <c r="C38" s="34" t="s">
        <v>598</v>
      </c>
      <c r="D38" s="35" t="s">
        <v>599</v>
      </c>
      <c r="E38" s="35" t="s">
        <v>600</v>
      </c>
      <c r="F38" s="35" t="s">
        <v>601</v>
      </c>
      <c r="G38" s="34" t="s">
        <v>394</v>
      </c>
      <c r="H38" s="34" t="s">
        <v>395</v>
      </c>
      <c r="I38" s="34" t="s">
        <v>602</v>
      </c>
    </row>
    <row r="39" spans="1:9" ht="55.05" customHeight="1" x14ac:dyDescent="0.45">
      <c r="A39" s="34" t="s">
        <v>603</v>
      </c>
      <c r="B39" s="34" t="s">
        <v>597</v>
      </c>
      <c r="C39" s="34" t="s">
        <v>604</v>
      </c>
      <c r="D39" s="35" t="s">
        <v>605</v>
      </c>
      <c r="E39" s="35" t="s">
        <v>606</v>
      </c>
      <c r="F39" s="35" t="s">
        <v>607</v>
      </c>
      <c r="G39" s="34" t="s">
        <v>394</v>
      </c>
      <c r="H39" s="34" t="s">
        <v>395</v>
      </c>
      <c r="I39" s="34" t="s">
        <v>602</v>
      </c>
    </row>
    <row r="40" spans="1:9" ht="55.05" customHeight="1" x14ac:dyDescent="0.45">
      <c r="A40" s="26" t="s">
        <v>608</v>
      </c>
      <c r="B40" s="26" t="s">
        <v>597</v>
      </c>
      <c r="C40" s="26" t="s">
        <v>609</v>
      </c>
      <c r="D40" s="36" t="s">
        <v>610</v>
      </c>
      <c r="E40" s="36" t="s">
        <v>611</v>
      </c>
      <c r="F40" s="36" t="s">
        <v>612</v>
      </c>
      <c r="G40" s="26" t="s">
        <v>419</v>
      </c>
      <c r="H40" s="26" t="s">
        <v>395</v>
      </c>
      <c r="I40" s="26" t="s">
        <v>613</v>
      </c>
    </row>
    <row r="41" spans="1:9" ht="55.05" customHeight="1" x14ac:dyDescent="0.45">
      <c r="A41" s="26" t="s">
        <v>614</v>
      </c>
      <c r="B41" s="26" t="s">
        <v>597</v>
      </c>
      <c r="C41" s="26" t="s">
        <v>615</v>
      </c>
      <c r="D41" s="36" t="s">
        <v>616</v>
      </c>
      <c r="E41" s="36" t="s">
        <v>617</v>
      </c>
      <c r="F41" s="36" t="s">
        <v>618</v>
      </c>
      <c r="G41" s="26" t="s">
        <v>419</v>
      </c>
      <c r="H41" s="26" t="s">
        <v>395</v>
      </c>
      <c r="I41" s="26" t="s">
        <v>619</v>
      </c>
    </row>
    <row r="42" spans="1:9" ht="55.05" customHeight="1" x14ac:dyDescent="0.45">
      <c r="A42" s="34" t="s">
        <v>620</v>
      </c>
      <c r="B42" s="34" t="s">
        <v>597</v>
      </c>
      <c r="C42" s="34" t="s">
        <v>621</v>
      </c>
      <c r="D42" s="35" t="s">
        <v>622</v>
      </c>
      <c r="E42" s="35" t="s">
        <v>623</v>
      </c>
      <c r="F42" s="35" t="s">
        <v>624</v>
      </c>
      <c r="G42" s="34" t="s">
        <v>394</v>
      </c>
      <c r="H42" s="34" t="s">
        <v>395</v>
      </c>
      <c r="I42" s="34" t="s">
        <v>625</v>
      </c>
    </row>
    <row r="43" spans="1:9" ht="55.05" customHeight="1" x14ac:dyDescent="0.45">
      <c r="A43" s="34" t="s">
        <v>626</v>
      </c>
      <c r="B43" s="34" t="s">
        <v>627</v>
      </c>
      <c r="C43" s="34" t="s">
        <v>628</v>
      </c>
      <c r="D43" s="35" t="s">
        <v>629</v>
      </c>
      <c r="E43" s="35" t="s">
        <v>630</v>
      </c>
      <c r="F43" s="35" t="s">
        <v>631</v>
      </c>
      <c r="G43" s="34" t="s">
        <v>394</v>
      </c>
      <c r="H43" s="34" t="s">
        <v>395</v>
      </c>
      <c r="I43" s="34" t="s">
        <v>632</v>
      </c>
    </row>
    <row r="44" spans="1:9" ht="55.05" customHeight="1" x14ac:dyDescent="0.45">
      <c r="A44" s="26" t="s">
        <v>633</v>
      </c>
      <c r="B44" s="26" t="s">
        <v>627</v>
      </c>
      <c r="C44" s="26" t="s">
        <v>634</v>
      </c>
      <c r="D44" s="36" t="s">
        <v>635</v>
      </c>
      <c r="E44" s="36" t="s">
        <v>636</v>
      </c>
      <c r="F44" s="36" t="s">
        <v>637</v>
      </c>
      <c r="G44" s="26" t="s">
        <v>419</v>
      </c>
      <c r="H44" s="26" t="s">
        <v>395</v>
      </c>
      <c r="I44" s="26" t="s">
        <v>638</v>
      </c>
    </row>
    <row r="45" spans="1:9" ht="55.05" customHeight="1" x14ac:dyDescent="0.45">
      <c r="A45" s="34" t="s">
        <v>639</v>
      </c>
      <c r="B45" s="34" t="s">
        <v>627</v>
      </c>
      <c r="C45" s="34" t="s">
        <v>640</v>
      </c>
      <c r="D45" s="35" t="s">
        <v>641</v>
      </c>
      <c r="E45" s="35" t="s">
        <v>467</v>
      </c>
      <c r="F45" s="35" t="s">
        <v>642</v>
      </c>
      <c r="G45" s="34" t="s">
        <v>394</v>
      </c>
      <c r="H45" s="34" t="s">
        <v>395</v>
      </c>
      <c r="I45" s="34" t="s">
        <v>643</v>
      </c>
    </row>
    <row r="46" spans="1:9" ht="55.05" customHeight="1" x14ac:dyDescent="0.45">
      <c r="A46" s="34" t="s">
        <v>644</v>
      </c>
      <c r="B46" s="34" t="s">
        <v>627</v>
      </c>
      <c r="C46" s="34" t="s">
        <v>645</v>
      </c>
      <c r="D46" s="35" t="s">
        <v>646</v>
      </c>
      <c r="E46" s="35" t="s">
        <v>647</v>
      </c>
      <c r="F46" s="35" t="s">
        <v>648</v>
      </c>
      <c r="G46" s="34" t="s">
        <v>394</v>
      </c>
      <c r="H46" s="34" t="s">
        <v>395</v>
      </c>
      <c r="I46" s="34" t="s">
        <v>649</v>
      </c>
    </row>
    <row r="47" spans="1:9" ht="55.05" customHeight="1" x14ac:dyDescent="0.45">
      <c r="A47" s="34" t="s">
        <v>650</v>
      </c>
      <c r="B47" s="34" t="s">
        <v>651</v>
      </c>
      <c r="C47" s="34" t="s">
        <v>652</v>
      </c>
      <c r="D47" s="35" t="s">
        <v>653</v>
      </c>
      <c r="E47" s="35" t="s">
        <v>654</v>
      </c>
      <c r="F47" s="35" t="s">
        <v>655</v>
      </c>
      <c r="G47" s="34" t="s">
        <v>394</v>
      </c>
      <c r="H47" s="34" t="s">
        <v>395</v>
      </c>
      <c r="I47" s="34" t="s">
        <v>656</v>
      </c>
    </row>
    <row r="48" spans="1:9" ht="55.05" customHeight="1" x14ac:dyDescent="0.45">
      <c r="A48" s="34" t="s">
        <v>657</v>
      </c>
      <c r="B48" s="34" t="s">
        <v>651</v>
      </c>
      <c r="C48" s="34" t="s">
        <v>658</v>
      </c>
      <c r="D48" s="35" t="s">
        <v>659</v>
      </c>
      <c r="E48" s="35" t="s">
        <v>660</v>
      </c>
      <c r="F48" s="35" t="s">
        <v>661</v>
      </c>
      <c r="G48" s="34" t="s">
        <v>394</v>
      </c>
      <c r="H48" s="34" t="s">
        <v>395</v>
      </c>
      <c r="I48" s="34" t="s">
        <v>420</v>
      </c>
    </row>
    <row r="49" spans="1:9" ht="55.05" customHeight="1" x14ac:dyDescent="0.45">
      <c r="A49" s="34" t="s">
        <v>662</v>
      </c>
      <c r="B49" s="34" t="s">
        <v>651</v>
      </c>
      <c r="C49" s="34" t="s">
        <v>663</v>
      </c>
      <c r="D49" s="35" t="s">
        <v>233</v>
      </c>
      <c r="E49" s="35" t="s">
        <v>664</v>
      </c>
      <c r="F49" s="35" t="s">
        <v>665</v>
      </c>
      <c r="G49" s="34" t="s">
        <v>394</v>
      </c>
      <c r="H49" s="34" t="s">
        <v>395</v>
      </c>
      <c r="I49" s="34" t="s">
        <v>396</v>
      </c>
    </row>
    <row r="51" spans="1:9" x14ac:dyDescent="0.45">
      <c r="A51" s="5" t="s">
        <v>666</v>
      </c>
    </row>
    <row r="52" spans="1:9" x14ac:dyDescent="0.45">
      <c r="A52" s="37" t="s">
        <v>667</v>
      </c>
    </row>
    <row r="53" spans="1:9" x14ac:dyDescent="0.45">
      <c r="A53" s="38" t="s">
        <v>668</v>
      </c>
    </row>
    <row r="54" spans="1:9" x14ac:dyDescent="0.45">
      <c r="A54" s="15" t="s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Players</vt:lpstr>
      <vt:lpstr>Sessions</vt:lpstr>
      <vt:lpstr>Teams_BibColours</vt:lpstr>
      <vt:lpstr>RSVP_Attendance</vt:lpstr>
      <vt:lpstr>Payments</vt:lpstr>
      <vt:lpstr>Payment_FollowUp</vt:lpstr>
      <vt:lpstr>Buffer_Fund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Maged Boctor</cp:lastModifiedBy>
  <dcterms:created xsi:type="dcterms:W3CDTF">2026-03-26T11:30:40Z</dcterms:created>
  <dcterms:modified xsi:type="dcterms:W3CDTF">2026-03-26T11:34:07Z</dcterms:modified>
</cp:coreProperties>
</file>